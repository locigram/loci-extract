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udataco.sharepoint.com/sites/PhilippinesTeam/Shared Documents/"/>
    </mc:Choice>
  </mc:AlternateContent>
  <xr:revisionPtr revIDLastSave="0" documentId="8_{D558AFCB-61B5-4966-9462-33982C95FD30}" xr6:coauthVersionLast="47" xr6:coauthVersionMax="47" xr10:uidLastSave="{00000000-0000-0000-0000-000000000000}"/>
  <bookViews>
    <workbookView xWindow="-120" yWindow="-120" windowWidth="20730" windowHeight="11160" activeTab="1" xr2:uid="{96336D42-6AC9-47A4-A40B-8B834061CC77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Sheet1!$A:$C,Sheet1!$1:$1</definedName>
    <definedName name="QB_COLUMN_1" localSheetId="1" hidden="1">Sheet1!$D$1</definedName>
    <definedName name="QB_COLUMN_126" localSheetId="1" hidden="1">Sheet1!$L$1</definedName>
    <definedName name="QB_COLUMN_20" localSheetId="1" hidden="1">Sheet1!$R$1</definedName>
    <definedName name="QB_COLUMN_28" localSheetId="1" hidden="1">Sheet1!$T$1</definedName>
    <definedName name="QB_COLUMN_29" localSheetId="1" hidden="1">Sheet1!$V$1</definedName>
    <definedName name="QB_COLUMN_3" localSheetId="1" hidden="1">Sheet1!$F$1</definedName>
    <definedName name="QB_COLUMN_31" localSheetId="1" hidden="1">Sheet1!$X$1</definedName>
    <definedName name="QB_COLUMN_4" localSheetId="1" hidden="1">Sheet1!$H$1</definedName>
    <definedName name="QB_COLUMN_5" localSheetId="1" hidden="1">Sheet1!$J$1</definedName>
    <definedName name="QB_COLUMN_7" localSheetId="1" hidden="1">Sheet1!$N$1</definedName>
    <definedName name="QB_COLUMN_8" localSheetId="1" hidden="1">Sheet1!$P$1</definedName>
    <definedName name="QB_DATA_0" localSheetId="1" hidden="1">Sheet1!$2:$2,Sheet1!$4:$4,Sheet1!$6:$6,Sheet1!$8:$8,Sheet1!$10:$10,Sheet1!$12:$12,Sheet1!$14:$14,Sheet1!$16:$16,Sheet1!$18:$18,Sheet1!$20:$20,Sheet1!$22:$22,Sheet1!$24:$24,Sheet1!$26:$26,Sheet1!$28:$28,Sheet1!$30:$30,Sheet1!$32:$32</definedName>
    <definedName name="QB_DATA_1" localSheetId="1" hidden="1">Sheet1!$34:$34,Sheet1!$36:$36,Sheet1!$38:$38,Sheet1!$40:$40,Sheet1!$42:$42,Sheet1!$44:$44,Sheet1!$46:$46,Sheet1!$47:$47,Sheet1!$48:$48,Sheet1!$49:$49,Sheet1!$51:$51,Sheet1!$53:$53,Sheet1!$56:$56,Sheet1!$57:$57,Sheet1!$59:$59,Sheet1!$62:$62</definedName>
    <definedName name="QB_DATA_2" localSheetId="1" hidden="1">Sheet1!$64:$64,Sheet1!$66:$66,Sheet1!$68:$68,Sheet1!$70:$70,Sheet1!$72:$72,Sheet1!$74:$74,Sheet1!$76:$76,Sheet1!$77:$77,Sheet1!$79:$79,Sheet1!$81:$81,Sheet1!$83:$83,Sheet1!$85:$85,Sheet1!$87:$87,Sheet1!$89:$89,Sheet1!$91:$91,Sheet1!$94:$94</definedName>
    <definedName name="QB_DATA_3" localSheetId="1" hidden="1">Sheet1!$96:$96,Sheet1!$98:$98,Sheet1!$100:$100,Sheet1!$102:$102,Sheet1!$104:$104,Sheet1!$106:$106,Sheet1!$108:$108,Sheet1!$110:$110,Sheet1!$112:$112,Sheet1!$113:$113,Sheet1!$115:$115,Sheet1!$118:$118,Sheet1!$120:$120,Sheet1!$122:$122,Sheet1!$124:$124,Sheet1!$126:$126</definedName>
    <definedName name="QB_DATA_4" localSheetId="1" hidden="1">Sheet1!$127:$127,Sheet1!$129:$129,Sheet1!$131:$131,Sheet1!$133:$133,Sheet1!$136:$136,Sheet1!$138:$138,Sheet1!$140:$140,Sheet1!$142:$142,Sheet1!$144:$144,Sheet1!$146:$146,Sheet1!$147:$147,Sheet1!$149:$149,Sheet1!$151:$151,Sheet1!$154:$154,Sheet1!$156:$156,Sheet1!$157:$157</definedName>
    <definedName name="QB_DATA_5" localSheetId="1" hidden="1">Sheet1!$159:$159,Sheet1!$161:$161,Sheet1!$163:$163,Sheet1!$165:$165,Sheet1!$168:$168,Sheet1!$170:$170,Sheet1!$172:$172,Sheet1!$174:$174,Sheet1!$176:$176,Sheet1!$178:$178,Sheet1!$180:$180,Sheet1!$182:$182,Sheet1!$184:$184</definedName>
    <definedName name="QB_FORMULA_0" localSheetId="1" hidden="1">Sheet1!$X$3,Sheet1!$X$5,Sheet1!$X$7,Sheet1!$X$9,Sheet1!$X$11,Sheet1!$X$13,Sheet1!$X$15,Sheet1!$X$17,Sheet1!$X$19,Sheet1!$X$21,Sheet1!$X$23,Sheet1!$X$25,Sheet1!$X$27,Sheet1!$X$29,Sheet1!$X$31,Sheet1!$X$33</definedName>
    <definedName name="QB_FORMULA_1" localSheetId="1" hidden="1">Sheet1!$X$35,Sheet1!$X$37,Sheet1!$X$39,Sheet1!$X$41,Sheet1!$X$43,Sheet1!$X$45,Sheet1!$X$50,Sheet1!$X$52,Sheet1!$X$54,Sheet1!$X$55,Sheet1!$X$58,Sheet1!$X$60,Sheet1!$X$61,Sheet1!$X$63,Sheet1!$X$65,Sheet1!$X$67</definedName>
    <definedName name="QB_FORMULA_2" localSheetId="1" hidden="1">Sheet1!$X$69,Sheet1!$X$71,Sheet1!$X$73,Sheet1!$X$75,Sheet1!$X$78,Sheet1!$X$80,Sheet1!$X$82,Sheet1!$X$84,Sheet1!$X$86,Sheet1!$X$88,Sheet1!$X$90,Sheet1!$X$92,Sheet1!$X$93,Sheet1!$X$95,Sheet1!$X$97,Sheet1!$X$99</definedName>
    <definedName name="QB_FORMULA_3" localSheetId="1" hidden="1">Sheet1!$X$101,Sheet1!$X$103,Sheet1!$X$105,Sheet1!$X$107,Sheet1!$X$109,Sheet1!$X$111,Sheet1!$X$114,Sheet1!$X$116,Sheet1!$X$117,Sheet1!$X$119,Sheet1!$X$121,Sheet1!$X$123,Sheet1!$X$125,Sheet1!$X$128,Sheet1!$X$130,Sheet1!$X$132</definedName>
    <definedName name="QB_FORMULA_4" localSheetId="1" hidden="1">Sheet1!$X$134,Sheet1!$X$135,Sheet1!$X$137,Sheet1!$X$139,Sheet1!$X$141,Sheet1!$X$143,Sheet1!$X$145,Sheet1!$X$148,Sheet1!$X$150,Sheet1!$X$152,Sheet1!$X$153,Sheet1!$X$155,Sheet1!$X$158,Sheet1!$X$160,Sheet1!$X$162,Sheet1!$X$164</definedName>
    <definedName name="QB_FORMULA_5" localSheetId="1" hidden="1">Sheet1!$X$166,Sheet1!$X$167,Sheet1!$X$169,Sheet1!$X$171,Sheet1!$X$173,Sheet1!$X$175,Sheet1!$X$177,Sheet1!$X$179,Sheet1!$X$181,Sheet1!$X$183,Sheet1!$X$185,Sheet1!$X$186</definedName>
    <definedName name="QB_ROW_10010" localSheetId="1" hidden="1">Sheet1!$B$74</definedName>
    <definedName name="QB_ROW_10310" localSheetId="1" hidden="1">Sheet1!$B$75</definedName>
    <definedName name="QB_ROW_11010" localSheetId="1" hidden="1">Sheet1!$B$76</definedName>
    <definedName name="QB_ROW_11020" localSheetId="1" hidden="1">Sheet1!$C$91</definedName>
    <definedName name="QB_ROW_11310" localSheetId="1" hidden="1">Sheet1!$B$93</definedName>
    <definedName name="QB_ROW_11320" localSheetId="1" hidden="1">Sheet1!$C$92</definedName>
    <definedName name="QB_ROW_12010" localSheetId="1" hidden="1">Sheet1!$B$94</definedName>
    <definedName name="QB_ROW_12310" localSheetId="1" hidden="1">Sheet1!$B$95</definedName>
    <definedName name="QB_ROW_13010" localSheetId="1" hidden="1">Sheet1!$B$100</definedName>
    <definedName name="QB_ROW_13310" localSheetId="1" hidden="1">Sheet1!$B$101</definedName>
    <definedName name="QB_ROW_14010" localSheetId="1" hidden="1">Sheet1!$B$104</definedName>
    <definedName name="QB_ROW_14310" localSheetId="1" hidden="1">Sheet1!$B$105</definedName>
    <definedName name="QB_ROW_15010" localSheetId="1" hidden="1">Sheet1!$B$110</definedName>
    <definedName name="QB_ROW_15310" localSheetId="1" hidden="1">Sheet1!$B$111</definedName>
    <definedName name="QB_ROW_16010" localSheetId="1" hidden="1">Sheet1!$B$112</definedName>
    <definedName name="QB_ROW_16020" localSheetId="1" hidden="1">Sheet1!$C$115</definedName>
    <definedName name="QB_ROW_163011" localSheetId="1" hidden="1">Sheet1!$B$184</definedName>
    <definedName name="QB_ROW_16310" localSheetId="1" hidden="1">Sheet1!$B$117</definedName>
    <definedName name="QB_ROW_16320" localSheetId="1" hidden="1">Sheet1!$C$116</definedName>
    <definedName name="QB_ROW_163311" localSheetId="1" hidden="1">Sheet1!$B$185</definedName>
    <definedName name="QB_ROW_17010" localSheetId="1" hidden="1">Sheet1!$B$118</definedName>
    <definedName name="QB_ROW_17310" localSheetId="1" hidden="1">Sheet1!$B$119</definedName>
    <definedName name="QB_ROW_18010" localSheetId="1" hidden="1">Sheet1!$B$120</definedName>
    <definedName name="QB_ROW_18310" localSheetId="1" hidden="1">Sheet1!$B$121</definedName>
    <definedName name="QB_ROW_19010" localSheetId="1" hidden="1">Sheet1!$B$122</definedName>
    <definedName name="QB_ROW_19310" localSheetId="1" hidden="1">Sheet1!$B$123</definedName>
    <definedName name="QB_ROW_20010" localSheetId="1" hidden="1">Sheet1!$B$136</definedName>
    <definedName name="QB_ROW_20310" localSheetId="1" hidden="1">Sheet1!$B$137</definedName>
    <definedName name="QB_ROW_21010" localSheetId="1" hidden="1">Sheet1!$B$140</definedName>
    <definedName name="QB_ROW_21310" localSheetId="1" hidden="1">Sheet1!$B$141</definedName>
    <definedName name="QB_ROW_22010" localSheetId="1" hidden="1">Sheet1!$B$142</definedName>
    <definedName name="QB_ROW_22310" localSheetId="1" hidden="1">Sheet1!$B$143</definedName>
    <definedName name="QB_ROW_23010" localSheetId="1" hidden="1">Sheet1!$B$154</definedName>
    <definedName name="QB_ROW_23310" localSheetId="1" hidden="1">Sheet1!$B$155</definedName>
    <definedName name="QB_ROW_24010" localSheetId="1" hidden="1">Sheet1!$B$168</definedName>
    <definedName name="QB_ROW_24310" localSheetId="1" hidden="1">Sheet1!$B$169</definedName>
    <definedName name="QB_ROW_25010" localSheetId="1" hidden="1">Sheet1!$B$170</definedName>
    <definedName name="QB_ROW_25301" localSheetId="1" hidden="1">Sheet1!$A$186</definedName>
    <definedName name="QB_ROW_25310" localSheetId="1" hidden="1">Sheet1!$B$171</definedName>
    <definedName name="QB_ROW_26010" localSheetId="1" hidden="1">Sheet1!$B$180</definedName>
    <definedName name="QB_ROW_26310" localSheetId="1" hidden="1">Sheet1!$B$181</definedName>
    <definedName name="QB_ROW_27010" localSheetId="1" hidden="1">Sheet1!$B$40</definedName>
    <definedName name="QB_ROW_27310" localSheetId="1" hidden="1">Sheet1!$B$41</definedName>
    <definedName name="QB_ROW_28010" localSheetId="1" hidden="1">Sheet1!$B$48</definedName>
    <definedName name="QB_ROW_28020" localSheetId="1" hidden="1">Sheet1!$C$53</definedName>
    <definedName name="QB_ROW_28310" localSheetId="1" hidden="1">Sheet1!$B$55</definedName>
    <definedName name="QB_ROW_28320" localSheetId="1" hidden="1">Sheet1!$C$54</definedName>
    <definedName name="QB_ROW_29010" localSheetId="1" hidden="1">Sheet1!$B$46</definedName>
    <definedName name="QB_ROW_29310" localSheetId="1" hidden="1">Sheet1!$B$47</definedName>
    <definedName name="QB_ROW_3010" localSheetId="1" hidden="1">Sheet1!$B$44</definedName>
    <definedName name="QB_ROW_31010" localSheetId="1" hidden="1">Sheet1!$B$126</definedName>
    <definedName name="QB_ROW_31020" localSheetId="1" hidden="1">Sheet1!$C$133</definedName>
    <definedName name="QB_ROW_31310" localSheetId="1" hidden="1">Sheet1!$B$135</definedName>
    <definedName name="QB_ROW_31320" localSheetId="1" hidden="1">Sheet1!$C$134</definedName>
    <definedName name="QB_ROW_32010" localSheetId="1" hidden="1">Sheet1!$B$32</definedName>
    <definedName name="QB_ROW_32310" localSheetId="1" hidden="1">Sheet1!$B$33</definedName>
    <definedName name="QB_ROW_33020" localSheetId="1" hidden="1">Sheet1!$C$87</definedName>
    <definedName name="QB_ROW_3310" localSheetId="1" hidden="1">Sheet1!$B$45</definedName>
    <definedName name="QB_ROW_33320" localSheetId="1" hidden="1">Sheet1!$C$88</definedName>
    <definedName name="QB_ROW_34020" localSheetId="1" hidden="1">Sheet1!$C$77</definedName>
    <definedName name="QB_ROW_34320" localSheetId="1" hidden="1">Sheet1!$C$78</definedName>
    <definedName name="QB_ROW_35020" localSheetId="1" hidden="1">Sheet1!$C$131</definedName>
    <definedName name="QB_ROW_35320" localSheetId="1" hidden="1">Sheet1!$C$132</definedName>
    <definedName name="QB_ROW_36020" localSheetId="1" hidden="1">Sheet1!$C$127</definedName>
    <definedName name="QB_ROW_36320" localSheetId="1" hidden="1">Sheet1!$C$128</definedName>
    <definedName name="QB_ROW_37010" localSheetId="1" hidden="1">Sheet1!$B$146</definedName>
    <definedName name="QB_ROW_37020" localSheetId="1" hidden="1">Sheet1!$C$151</definedName>
    <definedName name="QB_ROW_37310" localSheetId="1" hidden="1">Sheet1!$B$153</definedName>
    <definedName name="QB_ROW_37320" localSheetId="1" hidden="1">Sheet1!$C$152</definedName>
    <definedName name="QB_ROW_38020" localSheetId="1" hidden="1">Sheet1!$C$149</definedName>
    <definedName name="QB_ROW_38320" localSheetId="1" hidden="1">Sheet1!$C$150</definedName>
    <definedName name="QB_ROW_39010" localSheetId="1" hidden="1">Sheet1!$B$156</definedName>
    <definedName name="QB_ROW_39020" localSheetId="1" hidden="1">Sheet1!$C$165</definedName>
    <definedName name="QB_ROW_39310" localSheetId="1" hidden="1">Sheet1!$B$167</definedName>
    <definedName name="QB_ROW_39320" localSheetId="1" hidden="1">Sheet1!$C$166</definedName>
    <definedName name="QB_ROW_40020" localSheetId="1" hidden="1">Sheet1!$C$163</definedName>
    <definedName name="QB_ROW_4010" localSheetId="1" hidden="1">Sheet1!$B$10</definedName>
    <definedName name="QB_ROW_40320" localSheetId="1" hidden="1">Sheet1!$C$164</definedName>
    <definedName name="QB_ROW_41020" localSheetId="1" hidden="1">Sheet1!$C$157</definedName>
    <definedName name="QB_ROW_41320" localSheetId="1" hidden="1">Sheet1!$C$158</definedName>
    <definedName name="QB_ROW_42020" localSheetId="1" hidden="1">Sheet1!$C$159</definedName>
    <definedName name="QB_ROW_42320" localSheetId="1" hidden="1">Sheet1!$C$160</definedName>
    <definedName name="QB_ROW_43020" localSheetId="1" hidden="1">Sheet1!$C$161</definedName>
    <definedName name="QB_ROW_4310" localSheetId="1" hidden="1">Sheet1!$B$11</definedName>
    <definedName name="QB_ROW_43320" localSheetId="1" hidden="1">Sheet1!$C$162</definedName>
    <definedName name="QB_ROW_44010" localSheetId="1" hidden="1">Sheet1!$B$2</definedName>
    <definedName name="QB_ROW_44310" localSheetId="1" hidden="1">Sheet1!$B$3</definedName>
    <definedName name="QB_ROW_45010" localSheetId="1" hidden="1">Sheet1!$B$70</definedName>
    <definedName name="QB_ROW_45310" localSheetId="1" hidden="1">Sheet1!$B$71</definedName>
    <definedName name="QB_ROW_46010" localSheetId="1" hidden="1">Sheet1!$B$144</definedName>
    <definedName name="QB_ROW_46310" localSheetId="1" hidden="1">Sheet1!$B$145</definedName>
    <definedName name="QB_ROW_48010" localSheetId="1" hidden="1">Sheet1!$B$106</definedName>
    <definedName name="QB_ROW_48310" localSheetId="1" hidden="1">Sheet1!$B$107</definedName>
    <definedName name="QB_ROW_49010" localSheetId="1" hidden="1">Sheet1!$B$172</definedName>
    <definedName name="QB_ROW_49310" localSheetId="1" hidden="1">Sheet1!$B$173</definedName>
    <definedName name="QB_ROW_50010" localSheetId="1" hidden="1">Sheet1!$B$66</definedName>
    <definedName name="QB_ROW_5010" localSheetId="1" hidden="1">Sheet1!$B$8</definedName>
    <definedName name="QB_ROW_50310" localSheetId="1" hidden="1">Sheet1!$B$67</definedName>
    <definedName name="QB_ROW_51010" localSheetId="1" hidden="1">Sheet1!$B$28</definedName>
    <definedName name="QB_ROW_51310" localSheetId="1" hidden="1">Sheet1!$B$29</definedName>
    <definedName name="QB_ROW_52010" localSheetId="1" hidden="1">Sheet1!$B$174</definedName>
    <definedName name="QB_ROW_52310" localSheetId="1" hidden="1">Sheet1!$B$175</definedName>
    <definedName name="QB_ROW_5310" localSheetId="1" hidden="1">Sheet1!$B$9</definedName>
    <definedName name="QB_ROW_55010" localSheetId="1" hidden="1">Sheet1!$B$64</definedName>
    <definedName name="QB_ROW_55310" localSheetId="1" hidden="1">Sheet1!$B$65</definedName>
    <definedName name="QB_ROW_57010" localSheetId="1" hidden="1">Sheet1!$B$96</definedName>
    <definedName name="QB_ROW_57310" localSheetId="1" hidden="1">Sheet1!$B$97</definedName>
    <definedName name="QB_ROW_58020" localSheetId="1" hidden="1">Sheet1!$C$81</definedName>
    <definedName name="QB_ROW_58320" localSheetId="1" hidden="1">Sheet1!$C$82</definedName>
    <definedName name="QB_ROW_59020" localSheetId="1" hidden="1">Sheet1!$C$83</definedName>
    <definedName name="QB_ROW_59320" localSheetId="1" hidden="1">Sheet1!$C$84</definedName>
    <definedName name="QB_ROW_60010" localSheetId="1" hidden="1">Sheet1!$B$102</definedName>
    <definedName name="QB_ROW_6010" localSheetId="1" hidden="1">Sheet1!$B$14</definedName>
    <definedName name="QB_ROW_60310" localSheetId="1" hidden="1">Sheet1!$B$103</definedName>
    <definedName name="QB_ROW_61010" localSheetId="1" hidden="1">Sheet1!$B$16</definedName>
    <definedName name="QB_ROW_61310" localSheetId="1" hidden="1">Sheet1!$B$17</definedName>
    <definedName name="QB_ROW_62010" localSheetId="1" hidden="1">Sheet1!$B$4</definedName>
    <definedName name="QB_ROW_62310" localSheetId="1" hidden="1">Sheet1!$B$5</definedName>
    <definedName name="QB_ROW_63020" localSheetId="1" hidden="1">Sheet1!$C$129</definedName>
    <definedName name="QB_ROW_6310" localSheetId="1" hidden="1">Sheet1!$B$15</definedName>
    <definedName name="QB_ROW_63320" localSheetId="1" hidden="1">Sheet1!$C$130</definedName>
    <definedName name="QB_ROW_64010" localSheetId="1" hidden="1">Sheet1!$B$6</definedName>
    <definedName name="QB_ROW_64310" localSheetId="1" hidden="1">Sheet1!$B$7</definedName>
    <definedName name="QB_ROW_65010" localSheetId="1" hidden="1">Sheet1!$B$62</definedName>
    <definedName name="QB_ROW_65310" localSheetId="1" hidden="1">Sheet1!$B$63</definedName>
    <definedName name="QB_ROW_66010" localSheetId="1" hidden="1">Sheet1!$B$98</definedName>
    <definedName name="QB_ROW_66310" localSheetId="1" hidden="1">Sheet1!$B$99</definedName>
    <definedName name="QB_ROW_67020" localSheetId="1" hidden="1">Sheet1!$C$89</definedName>
    <definedName name="QB_ROW_67320" localSheetId="1" hidden="1">Sheet1!$C$90</definedName>
    <definedName name="QB_ROW_68010" localSheetId="1" hidden="1">Sheet1!$B$182</definedName>
    <definedName name="QB_ROW_68310" localSheetId="1" hidden="1">Sheet1!$B$183</definedName>
    <definedName name="QB_ROW_69020" localSheetId="1" hidden="1">Sheet1!$C$79</definedName>
    <definedName name="QB_ROW_69320" localSheetId="1" hidden="1">Sheet1!$C$80</definedName>
    <definedName name="QB_ROW_70020" localSheetId="1" hidden="1">Sheet1!$C$85</definedName>
    <definedName name="QB_ROW_7010" localSheetId="1" hidden="1">Sheet1!$B$56</definedName>
    <definedName name="QB_ROW_7020" localSheetId="1" hidden="1">Sheet1!$C$59</definedName>
    <definedName name="QB_ROW_70320" localSheetId="1" hidden="1">Sheet1!$C$86</definedName>
    <definedName name="QB_ROW_71010" localSheetId="1" hidden="1">Sheet1!$B$22</definedName>
    <definedName name="QB_ROW_71310" localSheetId="1" hidden="1">Sheet1!$B$23</definedName>
    <definedName name="QB_ROW_72010" localSheetId="1" hidden="1">Sheet1!$B$38</definedName>
    <definedName name="QB_ROW_72310" localSheetId="1" hidden="1">Sheet1!$B$39</definedName>
    <definedName name="QB_ROW_73010" localSheetId="1" hidden="1">Sheet1!$B$42</definedName>
    <definedName name="QB_ROW_7310" localSheetId="1" hidden="1">Sheet1!$B$61</definedName>
    <definedName name="QB_ROW_7320" localSheetId="1" hidden="1">Sheet1!$C$60</definedName>
    <definedName name="QB_ROW_73310" localSheetId="1" hidden="1">Sheet1!$B$43</definedName>
    <definedName name="QB_ROW_74010" localSheetId="1" hidden="1">Sheet1!$B$124</definedName>
    <definedName name="QB_ROW_74310" localSheetId="1" hidden="1">Sheet1!$B$125</definedName>
    <definedName name="QB_ROW_75010" localSheetId="1" hidden="1">Sheet1!$B$108</definedName>
    <definedName name="QB_ROW_75310" localSheetId="1" hidden="1">Sheet1!$B$109</definedName>
    <definedName name="QB_ROW_77010" localSheetId="1" hidden="1">Sheet1!$B$12</definedName>
    <definedName name="QB_ROW_77310" localSheetId="1" hidden="1">Sheet1!$B$13</definedName>
    <definedName name="QB_ROW_79020" localSheetId="1" hidden="1">Sheet1!$C$147</definedName>
    <definedName name="QB_ROW_79320" localSheetId="1" hidden="1">Sheet1!$C$148</definedName>
    <definedName name="QB_ROW_80010" localSheetId="1" hidden="1">Sheet1!$B$34</definedName>
    <definedName name="QB_ROW_80310" localSheetId="1" hidden="1">Sheet1!$B$35</definedName>
    <definedName name="QB_ROW_82020" localSheetId="1" hidden="1">Sheet1!$C$113</definedName>
    <definedName name="QB_ROW_82320" localSheetId="1" hidden="1">Sheet1!$C$114</definedName>
    <definedName name="QB_ROW_83010" localSheetId="1" hidden="1">Sheet1!$B$176</definedName>
    <definedName name="QB_ROW_83310" localSheetId="1" hidden="1">Sheet1!$B$177</definedName>
    <definedName name="QB_ROW_84020" localSheetId="1" hidden="1">Sheet1!$C$51</definedName>
    <definedName name="QB_ROW_84320" localSheetId="1" hidden="1">Sheet1!$C$52</definedName>
    <definedName name="QB_ROW_85020" localSheetId="1" hidden="1">Sheet1!$C$49</definedName>
    <definedName name="QB_ROW_85320" localSheetId="1" hidden="1">Sheet1!$C$50</definedName>
    <definedName name="QB_ROW_86010" localSheetId="1" hidden="1">Sheet1!$B$178</definedName>
    <definedName name="QB_ROW_86310" localSheetId="1" hidden="1">Sheet1!$B$179</definedName>
    <definedName name="QB_ROW_87010" localSheetId="1" hidden="1">Sheet1!$B$24</definedName>
    <definedName name="QB_ROW_87310" localSheetId="1" hidden="1">Sheet1!$B$25</definedName>
    <definedName name="QB_ROW_88010" localSheetId="1" hidden="1">Sheet1!$B$20</definedName>
    <definedName name="QB_ROW_88310" localSheetId="1" hidden="1">Sheet1!$B$21</definedName>
    <definedName name="QB_ROW_89010" localSheetId="1" hidden="1">Sheet1!$B$30</definedName>
    <definedName name="QB_ROW_89310" localSheetId="1" hidden="1">Sheet1!$B$31</definedName>
    <definedName name="QB_ROW_90010" localSheetId="1" hidden="1">Sheet1!$B$36</definedName>
    <definedName name="QB_ROW_9010" localSheetId="1" hidden="1">Sheet1!$B$68</definedName>
    <definedName name="QB_ROW_90310" localSheetId="1" hidden="1">Sheet1!$B$37</definedName>
    <definedName name="QB_ROW_91010" localSheetId="1" hidden="1">Sheet1!$B$138</definedName>
    <definedName name="QB_ROW_91310" localSheetId="1" hidden="1">Sheet1!$B$139</definedName>
    <definedName name="QB_ROW_92020" localSheetId="1" hidden="1">Sheet1!$C$57</definedName>
    <definedName name="QB_ROW_92320" localSheetId="1" hidden="1">Sheet1!$C$58</definedName>
    <definedName name="QB_ROW_9310" localSheetId="1" hidden="1">Sheet1!$B$69</definedName>
    <definedName name="QB_ROW_94010" localSheetId="1" hidden="1">Sheet1!$B$72</definedName>
    <definedName name="QB_ROW_94310" localSheetId="1" hidden="1">Sheet1!$B$73</definedName>
    <definedName name="QB_ROW_95010" localSheetId="1" hidden="1">Sheet1!$B$26</definedName>
    <definedName name="QB_ROW_95310" localSheetId="1" hidden="1">Sheet1!$B$27</definedName>
    <definedName name="QB_ROW_96010" localSheetId="1" hidden="1">Sheet1!$B$18</definedName>
    <definedName name="QB_ROW_96310" localSheetId="1" hidden="1">Sheet1!$B$19</definedName>
    <definedName name="QBCANSUPPORTUPDATE" localSheetId="1">TRUE</definedName>
    <definedName name="QBCOMPANYFILENAME" localSheetId="1">"F:\QuickBooks\Yen Dan USA\Yen Dan USA LLC BOI.qbw"</definedName>
    <definedName name="QBENDDATE" localSheetId="1">20260331</definedName>
    <definedName name="QBHEADERSONSCREEN" localSheetId="1">FALSE</definedName>
    <definedName name="QBMETADATASIZE" localSheetId="1">8284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"40301bc0c39745d7b7f47504fd25a5b6"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42</definedName>
    <definedName name="QBROWHEADERS" localSheetId="1">3</definedName>
    <definedName name="QBSTARTDATE" localSheetId="1">20260301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6" i="1" l="1"/>
  <c r="X185" i="1"/>
  <c r="X183" i="1"/>
  <c r="X181" i="1"/>
  <c r="X179" i="1"/>
  <c r="X177" i="1"/>
  <c r="X175" i="1"/>
  <c r="X173" i="1"/>
  <c r="X171" i="1"/>
  <c r="X169" i="1"/>
  <c r="X167" i="1"/>
  <c r="X166" i="1"/>
  <c r="X164" i="1"/>
  <c r="X162" i="1"/>
  <c r="X160" i="1"/>
  <c r="X158" i="1"/>
  <c r="X155" i="1"/>
  <c r="X153" i="1"/>
  <c r="X152" i="1"/>
  <c r="X150" i="1"/>
  <c r="X148" i="1"/>
  <c r="X145" i="1"/>
  <c r="X143" i="1"/>
  <c r="X141" i="1"/>
  <c r="X139" i="1"/>
  <c r="X137" i="1"/>
  <c r="X135" i="1"/>
  <c r="X134" i="1"/>
  <c r="X132" i="1"/>
  <c r="X130" i="1"/>
  <c r="X128" i="1"/>
  <c r="X125" i="1"/>
  <c r="X123" i="1"/>
  <c r="X121" i="1"/>
  <c r="X119" i="1"/>
  <c r="X117" i="1"/>
  <c r="X116" i="1"/>
  <c r="X114" i="1"/>
  <c r="X111" i="1"/>
  <c r="X109" i="1"/>
  <c r="X107" i="1"/>
  <c r="X105" i="1"/>
  <c r="X103" i="1"/>
  <c r="X101" i="1"/>
  <c r="X99" i="1"/>
  <c r="X97" i="1"/>
  <c r="X95" i="1"/>
  <c r="X93" i="1"/>
  <c r="X92" i="1"/>
  <c r="X90" i="1"/>
  <c r="X88" i="1"/>
  <c r="X86" i="1"/>
  <c r="X84" i="1"/>
  <c r="X82" i="1"/>
  <c r="X80" i="1"/>
  <c r="X78" i="1"/>
  <c r="X75" i="1"/>
  <c r="X73" i="1"/>
  <c r="X71" i="1"/>
  <c r="X69" i="1"/>
  <c r="X67" i="1"/>
  <c r="X65" i="1"/>
  <c r="X63" i="1"/>
  <c r="X61" i="1"/>
  <c r="X60" i="1"/>
  <c r="X58" i="1"/>
  <c r="X55" i="1"/>
  <c r="X54" i="1"/>
  <c r="X52" i="1"/>
  <c r="X50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X5" i="1"/>
  <c r="X3" i="1"/>
</calcChain>
</file>

<file path=xl/sharedStrings.xml><?xml version="1.0" encoding="utf-8"?>
<sst xmlns="http://schemas.openxmlformats.org/spreadsheetml/2006/main" count="195" uniqueCount="195">
  <si>
    <t>Type</t>
  </si>
  <si>
    <t>Date</t>
  </si>
  <si>
    <t>Num</t>
  </si>
  <si>
    <t>Adj</t>
  </si>
  <si>
    <t>Name</t>
  </si>
  <si>
    <t>Memo</t>
  </si>
  <si>
    <t>Split</t>
  </si>
  <si>
    <t>Debit</t>
  </si>
  <si>
    <t>Credit</t>
  </si>
  <si>
    <t>Balance</t>
  </si>
  <si>
    <t>Bank of America-7950</t>
  </si>
  <si>
    <t>Total Bank of America-7950</t>
  </si>
  <si>
    <t>Accounts Receivable</t>
  </si>
  <si>
    <t>Total Accounts Receivable</t>
  </si>
  <si>
    <t>Inventory Asset</t>
  </si>
  <si>
    <t>Total Inventory Asset</t>
  </si>
  <si>
    <t>Accumulated Depreciation</t>
  </si>
  <si>
    <t>Total Accumulated Depreciation</t>
  </si>
  <si>
    <t>Furniture and Equipment</t>
  </si>
  <si>
    <t>Total Furniture and Equipment</t>
  </si>
  <si>
    <t>Vehicles</t>
  </si>
  <si>
    <t>Total Vehicles</t>
  </si>
  <si>
    <t>Security Deposits Asset</t>
  </si>
  <si>
    <t>Total Security Deposits Asset</t>
  </si>
  <si>
    <t>Accounts Payable</t>
  </si>
  <si>
    <t>Total Accounts Payable</t>
  </si>
  <si>
    <t>AMEX-51000</t>
  </si>
  <si>
    <t>Total AMEX-51000</t>
  </si>
  <si>
    <t>AMEX-51007</t>
  </si>
  <si>
    <t>Total AMEX-51007</t>
  </si>
  <si>
    <t>BofA Card-3911</t>
  </si>
  <si>
    <t>Total BofA Card-3911</t>
  </si>
  <si>
    <t>Citi VISA-0865</t>
  </si>
  <si>
    <t>Total Citi VISA-0865</t>
  </si>
  <si>
    <t>Citi VISA-5888</t>
  </si>
  <si>
    <t>Total Citi VISA-5888</t>
  </si>
  <si>
    <t>Citi VISA-7682</t>
  </si>
  <si>
    <t>Total Citi VISA-7682</t>
  </si>
  <si>
    <t>Credit Card Payment</t>
  </si>
  <si>
    <t>Total Credit Card Payment</t>
  </si>
  <si>
    <t>Payroll Liabilities</t>
  </si>
  <si>
    <t>Total Payroll Liabilities</t>
  </si>
  <si>
    <t>L/T - AutoLoan (Mazda)</t>
  </si>
  <si>
    <t>Total L/T - AutoLoan (Mazda)</t>
  </si>
  <si>
    <t>L/T - Worth Finance Corp Loan</t>
  </si>
  <si>
    <t>Total L/T - Worth Finance Corp Loan</t>
  </si>
  <si>
    <t>Loans from Shareholders</t>
  </si>
  <si>
    <t>Total Loans from Shareholders</t>
  </si>
  <si>
    <t>Capital Stock</t>
  </si>
  <si>
    <t>Total Capital Stock</t>
  </si>
  <si>
    <t>Common Stock</t>
  </si>
  <si>
    <t>Total Common Stock</t>
  </si>
  <si>
    <t>Opening Balance Equity</t>
  </si>
  <si>
    <t>Total Opening Balance Equity</t>
  </si>
  <si>
    <t>Retained Earnings</t>
  </si>
  <si>
    <t>Total Retained Earnings</t>
  </si>
  <si>
    <t>Shareholder Distributions</t>
  </si>
  <si>
    <t>Dental</t>
  </si>
  <si>
    <t>Total Dental</t>
  </si>
  <si>
    <t>Tuition</t>
  </si>
  <si>
    <t>Total Tuition</t>
  </si>
  <si>
    <t>Shareholder Distributions - Other</t>
  </si>
  <si>
    <t>Total Shareholder Distributions - Other</t>
  </si>
  <si>
    <t>Total Shareholder Distributions</t>
  </si>
  <si>
    <t>Sales Income</t>
  </si>
  <si>
    <t>Returned/Duplicate Items</t>
  </si>
  <si>
    <t>Total Returned/Duplicate Items</t>
  </si>
  <si>
    <t>Sales Income - Other</t>
  </si>
  <si>
    <t>Total Sales Income - Other</t>
  </si>
  <si>
    <t>Total Sales Income</t>
  </si>
  <si>
    <t>Cost of Goods Sold</t>
  </si>
  <si>
    <t>Total Cost of Goods Sold</t>
  </si>
  <si>
    <t>Freight-In</t>
  </si>
  <si>
    <t>Total Freight-In</t>
  </si>
  <si>
    <t>Merchandise Purchases</t>
  </si>
  <si>
    <t>Total Merchandise Purchases</t>
  </si>
  <si>
    <t>Merchant Account Fees</t>
  </si>
  <si>
    <t>Total Merchant Account Fees</t>
  </si>
  <si>
    <t>Shipping and Freight</t>
  </si>
  <si>
    <t>Total Shipping and Freight</t>
  </si>
  <si>
    <t>Accounting Fees</t>
  </si>
  <si>
    <t>Total Accounting Fees</t>
  </si>
  <si>
    <t>Advertising and Promotion</t>
  </si>
  <si>
    <t>Total Advertising and Promotion</t>
  </si>
  <si>
    <t>Automobile Expense</t>
  </si>
  <si>
    <t>Auto - Gas</t>
  </si>
  <si>
    <t>Total Auto - Gas</t>
  </si>
  <si>
    <t>Auto - Insurance</t>
  </si>
  <si>
    <t>Total Auto - Insurance</t>
  </si>
  <si>
    <t>Auto - Parking</t>
  </si>
  <si>
    <t>Total Auto - Parking</t>
  </si>
  <si>
    <t>Auto - Payments</t>
  </si>
  <si>
    <t>Total Auto - Payments</t>
  </si>
  <si>
    <t>Auto - Registration</t>
  </si>
  <si>
    <t>Total Auto - Registration</t>
  </si>
  <si>
    <t>Auto - Repairs/Maintenence</t>
  </si>
  <si>
    <t>Total Auto - Repairs/Maintenence</t>
  </si>
  <si>
    <t>Auto - Wash</t>
  </si>
  <si>
    <t>Total Auto - Wash</t>
  </si>
  <si>
    <t>Automobile Expense - Other</t>
  </si>
  <si>
    <t>Total Automobile Expense - Other</t>
  </si>
  <si>
    <t>Total Automobile Expense</t>
  </si>
  <si>
    <t>Bank Service Charges</t>
  </si>
  <si>
    <t>Total Bank Service Charges</t>
  </si>
  <si>
    <t>Business License and Permits</t>
  </si>
  <si>
    <t>Total Business License and Permits</t>
  </si>
  <si>
    <t>Charity</t>
  </si>
  <si>
    <t>Total Charity</t>
  </si>
  <si>
    <t>Computer and Internet Expenses</t>
  </si>
  <si>
    <t>Total Computer and Internet Expenses</t>
  </si>
  <si>
    <t>Continuing Education</t>
  </si>
  <si>
    <t>Total Continuing Education</t>
  </si>
  <si>
    <t>Depreciation Expense</t>
  </si>
  <si>
    <t>Total Depreciation Expense</t>
  </si>
  <si>
    <t>Dues and Subscription</t>
  </si>
  <si>
    <t>Total Dues and Subscription</t>
  </si>
  <si>
    <t>Education Exp.</t>
  </si>
  <si>
    <t>Total Education Exp.</t>
  </si>
  <si>
    <t>Insurance Expense</t>
  </si>
  <si>
    <t>Total Insurance Expense</t>
  </si>
  <si>
    <t>Interest Expense</t>
  </si>
  <si>
    <t>Hyundai 2023</t>
  </si>
  <si>
    <t>Total Hyundai 2023</t>
  </si>
  <si>
    <t>Interest Expense - Other</t>
  </si>
  <si>
    <t>Total Interest Expense - Other</t>
  </si>
  <si>
    <t>Total Interest Expense</t>
  </si>
  <si>
    <t>Janitorial Expense</t>
  </si>
  <si>
    <t>Total Janitorial Expense</t>
  </si>
  <si>
    <t>Meals and Entertainment</t>
  </si>
  <si>
    <t>Total Meals and Entertainment</t>
  </si>
  <si>
    <t>Office Supplies</t>
  </si>
  <si>
    <t>Total Office Supplies</t>
  </si>
  <si>
    <t>Outside Services</t>
  </si>
  <si>
    <t>Total Outside Services</t>
  </si>
  <si>
    <t>Payroll Expenses</t>
  </si>
  <si>
    <t>Payroll Tax</t>
  </si>
  <si>
    <t>Total Payroll Tax</t>
  </si>
  <si>
    <t>Wages and Salary - Officer</t>
  </si>
  <si>
    <t>Total Wages and Salary - Officer</t>
  </si>
  <si>
    <t>Wages and Salary - Staff</t>
  </si>
  <si>
    <t>Total Wages and Salary - Staff</t>
  </si>
  <si>
    <t>Payroll Expenses - Other</t>
  </si>
  <si>
    <t>Total Payroll Expenses - Other</t>
  </si>
  <si>
    <t>Total Payroll Expenses</t>
  </si>
  <si>
    <t>Professional Fees</t>
  </si>
  <si>
    <t>Total Professional Fees</t>
  </si>
  <si>
    <t>Reconciliation Discrepancies</t>
  </si>
  <si>
    <t>Total Reconciliation Discrepancies</t>
  </si>
  <si>
    <t>Rent Expense</t>
  </si>
  <si>
    <t>Total Rent Expense</t>
  </si>
  <si>
    <t>Repairs and Maintenance</t>
  </si>
  <si>
    <t>Total Repairs and Maintenance</t>
  </si>
  <si>
    <t>Security Expense</t>
  </si>
  <si>
    <t>Total Security Expense</t>
  </si>
  <si>
    <t>Tax</t>
  </si>
  <si>
    <t>FTB</t>
  </si>
  <si>
    <t>Total FTB</t>
  </si>
  <si>
    <t>Sales Tax</t>
  </si>
  <si>
    <t>Total Sales Tax</t>
  </si>
  <si>
    <t>Tax - Other</t>
  </si>
  <si>
    <t>Total Tax - Other</t>
  </si>
  <si>
    <t>Total Tax</t>
  </si>
  <si>
    <t>Telephone Expense</t>
  </si>
  <si>
    <t>Total Telephone Expense</t>
  </si>
  <si>
    <t>Travel Expense</t>
  </si>
  <si>
    <t>Travel - Air</t>
  </si>
  <si>
    <t>Total Travel - Air</t>
  </si>
  <si>
    <t>Travel - Lodging</t>
  </si>
  <si>
    <t>Total Travel - Lodging</t>
  </si>
  <si>
    <t>Travel - Meals/Entertainment</t>
  </si>
  <si>
    <t>Total Travel - Meals/Entertainment</t>
  </si>
  <si>
    <t>Travel - Transportation</t>
  </si>
  <si>
    <t>Total Travel - Transportation</t>
  </si>
  <si>
    <t>Travel Expense - Other</t>
  </si>
  <si>
    <t>Total Travel Expense - Other</t>
  </si>
  <si>
    <t>Total Travel Expense</t>
  </si>
  <si>
    <t>Uniforms</t>
  </si>
  <si>
    <t>Total Uniforms</t>
  </si>
  <si>
    <t>Utilities</t>
  </si>
  <si>
    <t>Total Utilities</t>
  </si>
  <si>
    <t>Water for Office</t>
  </si>
  <si>
    <t>Total Water for Office</t>
  </si>
  <si>
    <t>Cash Rewards</t>
  </si>
  <si>
    <t>Total Cash Rewards</t>
  </si>
  <si>
    <t>Gain/Loss on Sale of Asset</t>
  </si>
  <si>
    <t>Total Gain/Loss on Sale of Asset</t>
  </si>
  <si>
    <t>Settlement</t>
  </si>
  <si>
    <t>Total Settlement</t>
  </si>
  <si>
    <t>Ask My Accountant</t>
  </si>
  <si>
    <t>Total Ask My Accountant</t>
  </si>
  <si>
    <t>N/D-Entertainment</t>
  </si>
  <si>
    <t>Total N/D-Entertainment</t>
  </si>
  <si>
    <t>No accnt</t>
  </si>
  <si>
    <t>Total no accnt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</si>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</sst>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2" xfId="0" applyNumberFormat="1" applyFont="1" applyBorder="1"/>
    <xf numFmtId="164" fontId="2" fillId="0" borderId="2" xfId="0" applyNumberFormat="1" applyFont="1" applyBorder="1"/>
    <xf numFmtId="49" fontId="2" fillId="0" borderId="0" xfId="0" applyNumberFormat="1" applyFont="1" applyBorder="1"/>
    <xf numFmtId="164" fontId="2" fillId="0" borderId="0" xfId="0" applyNumberFormat="1" applyFont="1" applyBorder="1"/>
    <xf numFmtId="49" fontId="1" fillId="0" borderId="3" xfId="0" applyNumberFormat="1" applyFont="1" applyBorder="1"/>
    <xf numFmtId="164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F9BC06F0-0C08-40F3-B271-81EB3861CF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1FAF6E2-3B6F-4A9C-A9CB-CCCFAA349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D5AB-FE05-480C-AC80-326C7DB9DE52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6" customWidth="1"/>
    <col min="2" max="2" width="4.140625" style="16" customWidth="1"/>
    <col min="3" max="3" width="54" style="16" customWidth="1"/>
    <col min="4" max="4" width="3.7109375" style="16" customWidth="1"/>
    <col min="5" max="5" width="90.28515625" style="16" customWidth="1"/>
    <col min="6" max="7" width="8.85546875" style="16"/>
    <col min="8" max="8" width="15.42578125" style="16" customWidth="1"/>
    <col min="9" max="9" width="5.140625" style="16" customWidth="1"/>
    <col min="10" max="11" width="8.85546875" style="16"/>
    <col min="12" max="12" width="3" style="16" customWidth="1"/>
    <col min="13" max="15" width="8.85546875" style="16"/>
    <col min="16" max="16" width="7" style="16" customWidth="1"/>
    <col min="17" max="256" width="8.85546875" style="16"/>
    <col min="257" max="257" width="3" style="16" customWidth="1"/>
    <col min="258" max="258" width="4.140625" style="16" customWidth="1"/>
    <col min="259" max="259" width="54" style="16" customWidth="1"/>
    <col min="260" max="260" width="3.7109375" style="16" customWidth="1"/>
    <col min="261" max="261" width="90.28515625" style="16" customWidth="1"/>
    <col min="262" max="263" width="8.85546875" style="16"/>
    <col min="264" max="264" width="15.42578125" style="16" customWidth="1"/>
    <col min="265" max="265" width="5.140625" style="16" customWidth="1"/>
    <col min="266" max="267" width="8.85546875" style="16"/>
    <col min="268" max="268" width="3" style="16" customWidth="1"/>
    <col min="269" max="271" width="8.85546875" style="16"/>
    <col min="272" max="272" width="7" style="16" customWidth="1"/>
    <col min="273" max="512" width="8.85546875" style="16"/>
    <col min="513" max="513" width="3" style="16" customWidth="1"/>
    <col min="514" max="514" width="4.140625" style="16" customWidth="1"/>
    <col min="515" max="515" width="54" style="16" customWidth="1"/>
    <col min="516" max="516" width="3.7109375" style="16" customWidth="1"/>
    <col min="517" max="517" width="90.28515625" style="16" customWidth="1"/>
    <col min="518" max="519" width="8.85546875" style="16"/>
    <col min="520" max="520" width="15.42578125" style="16" customWidth="1"/>
    <col min="521" max="521" width="5.140625" style="16" customWidth="1"/>
    <col min="522" max="523" width="8.85546875" style="16"/>
    <col min="524" max="524" width="3" style="16" customWidth="1"/>
    <col min="525" max="527" width="8.85546875" style="16"/>
    <col min="528" max="528" width="7" style="16" customWidth="1"/>
    <col min="529" max="768" width="8.85546875" style="16"/>
    <col min="769" max="769" width="3" style="16" customWidth="1"/>
    <col min="770" max="770" width="4.140625" style="16" customWidth="1"/>
    <col min="771" max="771" width="54" style="16" customWidth="1"/>
    <col min="772" max="772" width="3.7109375" style="16" customWidth="1"/>
    <col min="773" max="773" width="90.28515625" style="16" customWidth="1"/>
    <col min="774" max="775" width="8.85546875" style="16"/>
    <col min="776" max="776" width="15.42578125" style="16" customWidth="1"/>
    <col min="777" max="777" width="5.140625" style="16" customWidth="1"/>
    <col min="778" max="779" width="8.85546875" style="16"/>
    <col min="780" max="780" width="3" style="16" customWidth="1"/>
    <col min="781" max="783" width="8.85546875" style="16"/>
    <col min="784" max="784" width="7" style="16" customWidth="1"/>
    <col min="785" max="1024" width="8.85546875" style="16"/>
    <col min="1025" max="1025" width="3" style="16" customWidth="1"/>
    <col min="1026" max="1026" width="4.140625" style="16" customWidth="1"/>
    <col min="1027" max="1027" width="54" style="16" customWidth="1"/>
    <col min="1028" max="1028" width="3.7109375" style="16" customWidth="1"/>
    <col min="1029" max="1029" width="90.28515625" style="16" customWidth="1"/>
    <col min="1030" max="1031" width="8.85546875" style="16"/>
    <col min="1032" max="1032" width="15.42578125" style="16" customWidth="1"/>
    <col min="1033" max="1033" width="5.140625" style="16" customWidth="1"/>
    <col min="1034" max="1035" width="8.85546875" style="16"/>
    <col min="1036" max="1036" width="3" style="16" customWidth="1"/>
    <col min="1037" max="1039" width="8.85546875" style="16"/>
    <col min="1040" max="1040" width="7" style="16" customWidth="1"/>
    <col min="1041" max="1280" width="8.85546875" style="16"/>
    <col min="1281" max="1281" width="3" style="16" customWidth="1"/>
    <col min="1282" max="1282" width="4.140625" style="16" customWidth="1"/>
    <col min="1283" max="1283" width="54" style="16" customWidth="1"/>
    <col min="1284" max="1284" width="3.7109375" style="16" customWidth="1"/>
    <col min="1285" max="1285" width="90.28515625" style="16" customWidth="1"/>
    <col min="1286" max="1287" width="8.85546875" style="16"/>
    <col min="1288" max="1288" width="15.42578125" style="16" customWidth="1"/>
    <col min="1289" max="1289" width="5.140625" style="16" customWidth="1"/>
    <col min="1290" max="1291" width="8.85546875" style="16"/>
    <col min="1292" max="1292" width="3" style="16" customWidth="1"/>
    <col min="1293" max="1295" width="8.85546875" style="16"/>
    <col min="1296" max="1296" width="7" style="16" customWidth="1"/>
    <col min="1297" max="1536" width="8.85546875" style="16"/>
    <col min="1537" max="1537" width="3" style="16" customWidth="1"/>
    <col min="1538" max="1538" width="4.140625" style="16" customWidth="1"/>
    <col min="1539" max="1539" width="54" style="16" customWidth="1"/>
    <col min="1540" max="1540" width="3.7109375" style="16" customWidth="1"/>
    <col min="1541" max="1541" width="90.28515625" style="16" customWidth="1"/>
    <col min="1542" max="1543" width="8.85546875" style="16"/>
    <col min="1544" max="1544" width="15.42578125" style="16" customWidth="1"/>
    <col min="1545" max="1545" width="5.140625" style="16" customWidth="1"/>
    <col min="1546" max="1547" width="8.85546875" style="16"/>
    <col min="1548" max="1548" width="3" style="16" customWidth="1"/>
    <col min="1549" max="1551" width="8.85546875" style="16"/>
    <col min="1552" max="1552" width="7" style="16" customWidth="1"/>
    <col min="1553" max="1792" width="8.85546875" style="16"/>
    <col min="1793" max="1793" width="3" style="16" customWidth="1"/>
    <col min="1794" max="1794" width="4.140625" style="16" customWidth="1"/>
    <col min="1795" max="1795" width="54" style="16" customWidth="1"/>
    <col min="1796" max="1796" width="3.7109375" style="16" customWidth="1"/>
    <col min="1797" max="1797" width="90.28515625" style="16" customWidth="1"/>
    <col min="1798" max="1799" width="8.85546875" style="16"/>
    <col min="1800" max="1800" width="15.42578125" style="16" customWidth="1"/>
    <col min="1801" max="1801" width="5.140625" style="16" customWidth="1"/>
    <col min="1802" max="1803" width="8.85546875" style="16"/>
    <col min="1804" max="1804" width="3" style="16" customWidth="1"/>
    <col min="1805" max="1807" width="8.85546875" style="16"/>
    <col min="1808" max="1808" width="7" style="16" customWidth="1"/>
    <col min="1809" max="2048" width="8.85546875" style="16"/>
    <col min="2049" max="2049" width="3" style="16" customWidth="1"/>
    <col min="2050" max="2050" width="4.140625" style="16" customWidth="1"/>
    <col min="2051" max="2051" width="54" style="16" customWidth="1"/>
    <col min="2052" max="2052" width="3.7109375" style="16" customWidth="1"/>
    <col min="2053" max="2053" width="90.28515625" style="16" customWidth="1"/>
    <col min="2054" max="2055" width="8.85546875" style="16"/>
    <col min="2056" max="2056" width="15.42578125" style="16" customWidth="1"/>
    <col min="2057" max="2057" width="5.140625" style="16" customWidth="1"/>
    <col min="2058" max="2059" width="8.85546875" style="16"/>
    <col min="2060" max="2060" width="3" style="16" customWidth="1"/>
    <col min="2061" max="2063" width="8.85546875" style="16"/>
    <col min="2064" max="2064" width="7" style="16" customWidth="1"/>
    <col min="2065" max="2304" width="8.85546875" style="16"/>
    <col min="2305" max="2305" width="3" style="16" customWidth="1"/>
    <col min="2306" max="2306" width="4.140625" style="16" customWidth="1"/>
    <col min="2307" max="2307" width="54" style="16" customWidth="1"/>
    <col min="2308" max="2308" width="3.7109375" style="16" customWidth="1"/>
    <col min="2309" max="2309" width="90.28515625" style="16" customWidth="1"/>
    <col min="2310" max="2311" width="8.85546875" style="16"/>
    <col min="2312" max="2312" width="15.42578125" style="16" customWidth="1"/>
    <col min="2313" max="2313" width="5.140625" style="16" customWidth="1"/>
    <col min="2314" max="2315" width="8.85546875" style="16"/>
    <col min="2316" max="2316" width="3" style="16" customWidth="1"/>
    <col min="2317" max="2319" width="8.85546875" style="16"/>
    <col min="2320" max="2320" width="7" style="16" customWidth="1"/>
    <col min="2321" max="2560" width="8.85546875" style="16"/>
    <col min="2561" max="2561" width="3" style="16" customWidth="1"/>
    <col min="2562" max="2562" width="4.140625" style="16" customWidth="1"/>
    <col min="2563" max="2563" width="54" style="16" customWidth="1"/>
    <col min="2564" max="2564" width="3.7109375" style="16" customWidth="1"/>
    <col min="2565" max="2565" width="90.28515625" style="16" customWidth="1"/>
    <col min="2566" max="2567" width="8.85546875" style="16"/>
    <col min="2568" max="2568" width="15.42578125" style="16" customWidth="1"/>
    <col min="2569" max="2569" width="5.140625" style="16" customWidth="1"/>
    <col min="2570" max="2571" width="8.85546875" style="16"/>
    <col min="2572" max="2572" width="3" style="16" customWidth="1"/>
    <col min="2573" max="2575" width="8.85546875" style="16"/>
    <col min="2576" max="2576" width="7" style="16" customWidth="1"/>
    <col min="2577" max="2816" width="8.85546875" style="16"/>
    <col min="2817" max="2817" width="3" style="16" customWidth="1"/>
    <col min="2818" max="2818" width="4.140625" style="16" customWidth="1"/>
    <col min="2819" max="2819" width="54" style="16" customWidth="1"/>
    <col min="2820" max="2820" width="3.7109375" style="16" customWidth="1"/>
    <col min="2821" max="2821" width="90.28515625" style="16" customWidth="1"/>
    <col min="2822" max="2823" width="8.85546875" style="16"/>
    <col min="2824" max="2824" width="15.42578125" style="16" customWidth="1"/>
    <col min="2825" max="2825" width="5.140625" style="16" customWidth="1"/>
    <col min="2826" max="2827" width="8.85546875" style="16"/>
    <col min="2828" max="2828" width="3" style="16" customWidth="1"/>
    <col min="2829" max="2831" width="8.85546875" style="16"/>
    <col min="2832" max="2832" width="7" style="16" customWidth="1"/>
    <col min="2833" max="3072" width="8.85546875" style="16"/>
    <col min="3073" max="3073" width="3" style="16" customWidth="1"/>
    <col min="3074" max="3074" width="4.140625" style="16" customWidth="1"/>
    <col min="3075" max="3075" width="54" style="16" customWidth="1"/>
    <col min="3076" max="3076" width="3.7109375" style="16" customWidth="1"/>
    <col min="3077" max="3077" width="90.28515625" style="16" customWidth="1"/>
    <col min="3078" max="3079" width="8.85546875" style="16"/>
    <col min="3080" max="3080" width="15.42578125" style="16" customWidth="1"/>
    <col min="3081" max="3081" width="5.140625" style="16" customWidth="1"/>
    <col min="3082" max="3083" width="8.85546875" style="16"/>
    <col min="3084" max="3084" width="3" style="16" customWidth="1"/>
    <col min="3085" max="3087" width="8.85546875" style="16"/>
    <col min="3088" max="3088" width="7" style="16" customWidth="1"/>
    <col min="3089" max="3328" width="8.85546875" style="16"/>
    <col min="3329" max="3329" width="3" style="16" customWidth="1"/>
    <col min="3330" max="3330" width="4.140625" style="16" customWidth="1"/>
    <col min="3331" max="3331" width="54" style="16" customWidth="1"/>
    <col min="3332" max="3332" width="3.7109375" style="16" customWidth="1"/>
    <col min="3333" max="3333" width="90.28515625" style="16" customWidth="1"/>
    <col min="3334" max="3335" width="8.85546875" style="16"/>
    <col min="3336" max="3336" width="15.42578125" style="16" customWidth="1"/>
    <col min="3337" max="3337" width="5.140625" style="16" customWidth="1"/>
    <col min="3338" max="3339" width="8.85546875" style="16"/>
    <col min="3340" max="3340" width="3" style="16" customWidth="1"/>
    <col min="3341" max="3343" width="8.85546875" style="16"/>
    <col min="3344" max="3344" width="7" style="16" customWidth="1"/>
    <col min="3345" max="3584" width="8.85546875" style="16"/>
    <col min="3585" max="3585" width="3" style="16" customWidth="1"/>
    <col min="3586" max="3586" width="4.140625" style="16" customWidth="1"/>
    <col min="3587" max="3587" width="54" style="16" customWidth="1"/>
    <col min="3588" max="3588" width="3.7109375" style="16" customWidth="1"/>
    <col min="3589" max="3589" width="90.28515625" style="16" customWidth="1"/>
    <col min="3590" max="3591" width="8.85546875" style="16"/>
    <col min="3592" max="3592" width="15.42578125" style="16" customWidth="1"/>
    <col min="3593" max="3593" width="5.140625" style="16" customWidth="1"/>
    <col min="3594" max="3595" width="8.85546875" style="16"/>
    <col min="3596" max="3596" width="3" style="16" customWidth="1"/>
    <col min="3597" max="3599" width="8.85546875" style="16"/>
    <col min="3600" max="3600" width="7" style="16" customWidth="1"/>
    <col min="3601" max="3840" width="8.85546875" style="16"/>
    <col min="3841" max="3841" width="3" style="16" customWidth="1"/>
    <col min="3842" max="3842" width="4.140625" style="16" customWidth="1"/>
    <col min="3843" max="3843" width="54" style="16" customWidth="1"/>
    <col min="3844" max="3844" width="3.7109375" style="16" customWidth="1"/>
    <col min="3845" max="3845" width="90.28515625" style="16" customWidth="1"/>
    <col min="3846" max="3847" width="8.85546875" style="16"/>
    <col min="3848" max="3848" width="15.42578125" style="16" customWidth="1"/>
    <col min="3849" max="3849" width="5.140625" style="16" customWidth="1"/>
    <col min="3850" max="3851" width="8.85546875" style="16"/>
    <col min="3852" max="3852" width="3" style="16" customWidth="1"/>
    <col min="3853" max="3855" width="8.85546875" style="16"/>
    <col min="3856" max="3856" width="7" style="16" customWidth="1"/>
    <col min="3857" max="4096" width="8.85546875" style="16"/>
    <col min="4097" max="4097" width="3" style="16" customWidth="1"/>
    <col min="4098" max="4098" width="4.140625" style="16" customWidth="1"/>
    <col min="4099" max="4099" width="54" style="16" customWidth="1"/>
    <col min="4100" max="4100" width="3.7109375" style="16" customWidth="1"/>
    <col min="4101" max="4101" width="90.28515625" style="16" customWidth="1"/>
    <col min="4102" max="4103" width="8.85546875" style="16"/>
    <col min="4104" max="4104" width="15.42578125" style="16" customWidth="1"/>
    <col min="4105" max="4105" width="5.140625" style="16" customWidth="1"/>
    <col min="4106" max="4107" width="8.85546875" style="16"/>
    <col min="4108" max="4108" width="3" style="16" customWidth="1"/>
    <col min="4109" max="4111" width="8.85546875" style="16"/>
    <col min="4112" max="4112" width="7" style="16" customWidth="1"/>
    <col min="4113" max="4352" width="8.85546875" style="16"/>
    <col min="4353" max="4353" width="3" style="16" customWidth="1"/>
    <col min="4354" max="4354" width="4.140625" style="16" customWidth="1"/>
    <col min="4355" max="4355" width="54" style="16" customWidth="1"/>
    <col min="4356" max="4356" width="3.7109375" style="16" customWidth="1"/>
    <col min="4357" max="4357" width="90.28515625" style="16" customWidth="1"/>
    <col min="4358" max="4359" width="8.85546875" style="16"/>
    <col min="4360" max="4360" width="15.42578125" style="16" customWidth="1"/>
    <col min="4361" max="4361" width="5.140625" style="16" customWidth="1"/>
    <col min="4362" max="4363" width="8.85546875" style="16"/>
    <col min="4364" max="4364" width="3" style="16" customWidth="1"/>
    <col min="4365" max="4367" width="8.85546875" style="16"/>
    <col min="4368" max="4368" width="7" style="16" customWidth="1"/>
    <col min="4369" max="4608" width="8.85546875" style="16"/>
    <col min="4609" max="4609" width="3" style="16" customWidth="1"/>
    <col min="4610" max="4610" width="4.140625" style="16" customWidth="1"/>
    <col min="4611" max="4611" width="54" style="16" customWidth="1"/>
    <col min="4612" max="4612" width="3.7109375" style="16" customWidth="1"/>
    <col min="4613" max="4613" width="90.28515625" style="16" customWidth="1"/>
    <col min="4614" max="4615" width="8.85546875" style="16"/>
    <col min="4616" max="4616" width="15.42578125" style="16" customWidth="1"/>
    <col min="4617" max="4617" width="5.140625" style="16" customWidth="1"/>
    <col min="4618" max="4619" width="8.85546875" style="16"/>
    <col min="4620" max="4620" width="3" style="16" customWidth="1"/>
    <col min="4621" max="4623" width="8.85546875" style="16"/>
    <col min="4624" max="4624" width="7" style="16" customWidth="1"/>
    <col min="4625" max="4864" width="8.85546875" style="16"/>
    <col min="4865" max="4865" width="3" style="16" customWidth="1"/>
    <col min="4866" max="4866" width="4.140625" style="16" customWidth="1"/>
    <col min="4867" max="4867" width="54" style="16" customWidth="1"/>
    <col min="4868" max="4868" width="3.7109375" style="16" customWidth="1"/>
    <col min="4869" max="4869" width="90.28515625" style="16" customWidth="1"/>
    <col min="4870" max="4871" width="8.85546875" style="16"/>
    <col min="4872" max="4872" width="15.42578125" style="16" customWidth="1"/>
    <col min="4873" max="4873" width="5.140625" style="16" customWidth="1"/>
    <col min="4874" max="4875" width="8.85546875" style="16"/>
    <col min="4876" max="4876" width="3" style="16" customWidth="1"/>
    <col min="4877" max="4879" width="8.85546875" style="16"/>
    <col min="4880" max="4880" width="7" style="16" customWidth="1"/>
    <col min="4881" max="5120" width="8.85546875" style="16"/>
    <col min="5121" max="5121" width="3" style="16" customWidth="1"/>
    <col min="5122" max="5122" width="4.140625" style="16" customWidth="1"/>
    <col min="5123" max="5123" width="54" style="16" customWidth="1"/>
    <col min="5124" max="5124" width="3.7109375" style="16" customWidth="1"/>
    <col min="5125" max="5125" width="90.28515625" style="16" customWidth="1"/>
    <col min="5126" max="5127" width="8.85546875" style="16"/>
    <col min="5128" max="5128" width="15.42578125" style="16" customWidth="1"/>
    <col min="5129" max="5129" width="5.140625" style="16" customWidth="1"/>
    <col min="5130" max="5131" width="8.85546875" style="16"/>
    <col min="5132" max="5132" width="3" style="16" customWidth="1"/>
    <col min="5133" max="5135" width="8.85546875" style="16"/>
    <col min="5136" max="5136" width="7" style="16" customWidth="1"/>
    <col min="5137" max="5376" width="8.85546875" style="16"/>
    <col min="5377" max="5377" width="3" style="16" customWidth="1"/>
    <col min="5378" max="5378" width="4.140625" style="16" customWidth="1"/>
    <col min="5379" max="5379" width="54" style="16" customWidth="1"/>
    <col min="5380" max="5380" width="3.7109375" style="16" customWidth="1"/>
    <col min="5381" max="5381" width="90.28515625" style="16" customWidth="1"/>
    <col min="5382" max="5383" width="8.85546875" style="16"/>
    <col min="5384" max="5384" width="15.42578125" style="16" customWidth="1"/>
    <col min="5385" max="5385" width="5.140625" style="16" customWidth="1"/>
    <col min="5386" max="5387" width="8.85546875" style="16"/>
    <col min="5388" max="5388" width="3" style="16" customWidth="1"/>
    <col min="5389" max="5391" width="8.85546875" style="16"/>
    <col min="5392" max="5392" width="7" style="16" customWidth="1"/>
    <col min="5393" max="5632" width="8.85546875" style="16"/>
    <col min="5633" max="5633" width="3" style="16" customWidth="1"/>
    <col min="5634" max="5634" width="4.140625" style="16" customWidth="1"/>
    <col min="5635" max="5635" width="54" style="16" customWidth="1"/>
    <col min="5636" max="5636" width="3.7109375" style="16" customWidth="1"/>
    <col min="5637" max="5637" width="90.28515625" style="16" customWidth="1"/>
    <col min="5638" max="5639" width="8.85546875" style="16"/>
    <col min="5640" max="5640" width="15.42578125" style="16" customWidth="1"/>
    <col min="5641" max="5641" width="5.140625" style="16" customWidth="1"/>
    <col min="5642" max="5643" width="8.85546875" style="16"/>
    <col min="5644" max="5644" width="3" style="16" customWidth="1"/>
    <col min="5645" max="5647" width="8.85546875" style="16"/>
    <col min="5648" max="5648" width="7" style="16" customWidth="1"/>
    <col min="5649" max="5888" width="8.85546875" style="16"/>
    <col min="5889" max="5889" width="3" style="16" customWidth="1"/>
    <col min="5890" max="5890" width="4.140625" style="16" customWidth="1"/>
    <col min="5891" max="5891" width="54" style="16" customWidth="1"/>
    <col min="5892" max="5892" width="3.7109375" style="16" customWidth="1"/>
    <col min="5893" max="5893" width="90.28515625" style="16" customWidth="1"/>
    <col min="5894" max="5895" width="8.85546875" style="16"/>
    <col min="5896" max="5896" width="15.42578125" style="16" customWidth="1"/>
    <col min="5897" max="5897" width="5.140625" style="16" customWidth="1"/>
    <col min="5898" max="5899" width="8.85546875" style="16"/>
    <col min="5900" max="5900" width="3" style="16" customWidth="1"/>
    <col min="5901" max="5903" width="8.85546875" style="16"/>
    <col min="5904" max="5904" width="7" style="16" customWidth="1"/>
    <col min="5905" max="6144" width="8.85546875" style="16"/>
    <col min="6145" max="6145" width="3" style="16" customWidth="1"/>
    <col min="6146" max="6146" width="4.140625" style="16" customWidth="1"/>
    <col min="6147" max="6147" width="54" style="16" customWidth="1"/>
    <col min="6148" max="6148" width="3.7109375" style="16" customWidth="1"/>
    <col min="6149" max="6149" width="90.28515625" style="16" customWidth="1"/>
    <col min="6150" max="6151" width="8.85546875" style="16"/>
    <col min="6152" max="6152" width="15.42578125" style="16" customWidth="1"/>
    <col min="6153" max="6153" width="5.140625" style="16" customWidth="1"/>
    <col min="6154" max="6155" width="8.85546875" style="16"/>
    <col min="6156" max="6156" width="3" style="16" customWidth="1"/>
    <col min="6157" max="6159" width="8.85546875" style="16"/>
    <col min="6160" max="6160" width="7" style="16" customWidth="1"/>
    <col min="6161" max="6400" width="8.85546875" style="16"/>
    <col min="6401" max="6401" width="3" style="16" customWidth="1"/>
    <col min="6402" max="6402" width="4.140625" style="16" customWidth="1"/>
    <col min="6403" max="6403" width="54" style="16" customWidth="1"/>
    <col min="6404" max="6404" width="3.7109375" style="16" customWidth="1"/>
    <col min="6405" max="6405" width="90.28515625" style="16" customWidth="1"/>
    <col min="6406" max="6407" width="8.85546875" style="16"/>
    <col min="6408" max="6408" width="15.42578125" style="16" customWidth="1"/>
    <col min="6409" max="6409" width="5.140625" style="16" customWidth="1"/>
    <col min="6410" max="6411" width="8.85546875" style="16"/>
    <col min="6412" max="6412" width="3" style="16" customWidth="1"/>
    <col min="6413" max="6415" width="8.85546875" style="16"/>
    <col min="6416" max="6416" width="7" style="16" customWidth="1"/>
    <col min="6417" max="6656" width="8.85546875" style="16"/>
    <col min="6657" max="6657" width="3" style="16" customWidth="1"/>
    <col min="6658" max="6658" width="4.140625" style="16" customWidth="1"/>
    <col min="6659" max="6659" width="54" style="16" customWidth="1"/>
    <col min="6660" max="6660" width="3.7109375" style="16" customWidth="1"/>
    <col min="6661" max="6661" width="90.28515625" style="16" customWidth="1"/>
    <col min="6662" max="6663" width="8.85546875" style="16"/>
    <col min="6664" max="6664" width="15.42578125" style="16" customWidth="1"/>
    <col min="6665" max="6665" width="5.140625" style="16" customWidth="1"/>
    <col min="6666" max="6667" width="8.85546875" style="16"/>
    <col min="6668" max="6668" width="3" style="16" customWidth="1"/>
    <col min="6669" max="6671" width="8.85546875" style="16"/>
    <col min="6672" max="6672" width="7" style="16" customWidth="1"/>
    <col min="6673" max="6912" width="8.85546875" style="16"/>
    <col min="6913" max="6913" width="3" style="16" customWidth="1"/>
    <col min="6914" max="6914" width="4.140625" style="16" customWidth="1"/>
    <col min="6915" max="6915" width="54" style="16" customWidth="1"/>
    <col min="6916" max="6916" width="3.7109375" style="16" customWidth="1"/>
    <col min="6917" max="6917" width="90.28515625" style="16" customWidth="1"/>
    <col min="6918" max="6919" width="8.85546875" style="16"/>
    <col min="6920" max="6920" width="15.42578125" style="16" customWidth="1"/>
    <col min="6921" max="6921" width="5.140625" style="16" customWidth="1"/>
    <col min="6922" max="6923" width="8.85546875" style="16"/>
    <col min="6924" max="6924" width="3" style="16" customWidth="1"/>
    <col min="6925" max="6927" width="8.85546875" style="16"/>
    <col min="6928" max="6928" width="7" style="16" customWidth="1"/>
    <col min="6929" max="7168" width="8.85546875" style="16"/>
    <col min="7169" max="7169" width="3" style="16" customWidth="1"/>
    <col min="7170" max="7170" width="4.140625" style="16" customWidth="1"/>
    <col min="7171" max="7171" width="54" style="16" customWidth="1"/>
    <col min="7172" max="7172" width="3.7109375" style="16" customWidth="1"/>
    <col min="7173" max="7173" width="90.28515625" style="16" customWidth="1"/>
    <col min="7174" max="7175" width="8.85546875" style="16"/>
    <col min="7176" max="7176" width="15.42578125" style="16" customWidth="1"/>
    <col min="7177" max="7177" width="5.140625" style="16" customWidth="1"/>
    <col min="7178" max="7179" width="8.85546875" style="16"/>
    <col min="7180" max="7180" width="3" style="16" customWidth="1"/>
    <col min="7181" max="7183" width="8.85546875" style="16"/>
    <col min="7184" max="7184" width="7" style="16" customWidth="1"/>
    <col min="7185" max="7424" width="8.85546875" style="16"/>
    <col min="7425" max="7425" width="3" style="16" customWidth="1"/>
    <col min="7426" max="7426" width="4.140625" style="16" customWidth="1"/>
    <col min="7427" max="7427" width="54" style="16" customWidth="1"/>
    <col min="7428" max="7428" width="3.7109375" style="16" customWidth="1"/>
    <col min="7429" max="7429" width="90.28515625" style="16" customWidth="1"/>
    <col min="7430" max="7431" width="8.85546875" style="16"/>
    <col min="7432" max="7432" width="15.42578125" style="16" customWidth="1"/>
    <col min="7433" max="7433" width="5.140625" style="16" customWidth="1"/>
    <col min="7434" max="7435" width="8.85546875" style="16"/>
    <col min="7436" max="7436" width="3" style="16" customWidth="1"/>
    <col min="7437" max="7439" width="8.85546875" style="16"/>
    <col min="7440" max="7440" width="7" style="16" customWidth="1"/>
    <col min="7441" max="7680" width="8.85546875" style="16"/>
    <col min="7681" max="7681" width="3" style="16" customWidth="1"/>
    <col min="7682" max="7682" width="4.140625" style="16" customWidth="1"/>
    <col min="7683" max="7683" width="54" style="16" customWidth="1"/>
    <col min="7684" max="7684" width="3.7109375" style="16" customWidth="1"/>
    <col min="7685" max="7685" width="90.28515625" style="16" customWidth="1"/>
    <col min="7686" max="7687" width="8.85546875" style="16"/>
    <col min="7688" max="7688" width="15.42578125" style="16" customWidth="1"/>
    <col min="7689" max="7689" width="5.140625" style="16" customWidth="1"/>
    <col min="7690" max="7691" width="8.85546875" style="16"/>
    <col min="7692" max="7692" width="3" style="16" customWidth="1"/>
    <col min="7693" max="7695" width="8.85546875" style="16"/>
    <col min="7696" max="7696" width="7" style="16" customWidth="1"/>
    <col min="7697" max="7936" width="8.85546875" style="16"/>
    <col min="7937" max="7937" width="3" style="16" customWidth="1"/>
    <col min="7938" max="7938" width="4.140625" style="16" customWidth="1"/>
    <col min="7939" max="7939" width="54" style="16" customWidth="1"/>
    <col min="7940" max="7940" width="3.7109375" style="16" customWidth="1"/>
    <col min="7941" max="7941" width="90.28515625" style="16" customWidth="1"/>
    <col min="7942" max="7943" width="8.85546875" style="16"/>
    <col min="7944" max="7944" width="15.42578125" style="16" customWidth="1"/>
    <col min="7945" max="7945" width="5.140625" style="16" customWidth="1"/>
    <col min="7946" max="7947" width="8.85546875" style="16"/>
    <col min="7948" max="7948" width="3" style="16" customWidth="1"/>
    <col min="7949" max="7951" width="8.85546875" style="16"/>
    <col min="7952" max="7952" width="7" style="16" customWidth="1"/>
    <col min="7953" max="8192" width="8.85546875" style="16"/>
    <col min="8193" max="8193" width="3" style="16" customWidth="1"/>
    <col min="8194" max="8194" width="4.140625" style="16" customWidth="1"/>
    <col min="8195" max="8195" width="54" style="16" customWidth="1"/>
    <col min="8196" max="8196" width="3.7109375" style="16" customWidth="1"/>
    <col min="8197" max="8197" width="90.28515625" style="16" customWidth="1"/>
    <col min="8198" max="8199" width="8.85546875" style="16"/>
    <col min="8200" max="8200" width="15.42578125" style="16" customWidth="1"/>
    <col min="8201" max="8201" width="5.140625" style="16" customWidth="1"/>
    <col min="8202" max="8203" width="8.85546875" style="16"/>
    <col min="8204" max="8204" width="3" style="16" customWidth="1"/>
    <col min="8205" max="8207" width="8.85546875" style="16"/>
    <col min="8208" max="8208" width="7" style="16" customWidth="1"/>
    <col min="8209" max="8448" width="8.85546875" style="16"/>
    <col min="8449" max="8449" width="3" style="16" customWidth="1"/>
    <col min="8450" max="8450" width="4.140625" style="16" customWidth="1"/>
    <col min="8451" max="8451" width="54" style="16" customWidth="1"/>
    <col min="8452" max="8452" width="3.7109375" style="16" customWidth="1"/>
    <col min="8453" max="8453" width="90.28515625" style="16" customWidth="1"/>
    <col min="8454" max="8455" width="8.85546875" style="16"/>
    <col min="8456" max="8456" width="15.42578125" style="16" customWidth="1"/>
    <col min="8457" max="8457" width="5.140625" style="16" customWidth="1"/>
    <col min="8458" max="8459" width="8.85546875" style="16"/>
    <col min="8460" max="8460" width="3" style="16" customWidth="1"/>
    <col min="8461" max="8463" width="8.85546875" style="16"/>
    <col min="8464" max="8464" width="7" style="16" customWidth="1"/>
    <col min="8465" max="8704" width="8.85546875" style="16"/>
    <col min="8705" max="8705" width="3" style="16" customWidth="1"/>
    <col min="8706" max="8706" width="4.140625" style="16" customWidth="1"/>
    <col min="8707" max="8707" width="54" style="16" customWidth="1"/>
    <col min="8708" max="8708" width="3.7109375" style="16" customWidth="1"/>
    <col min="8709" max="8709" width="90.28515625" style="16" customWidth="1"/>
    <col min="8710" max="8711" width="8.85546875" style="16"/>
    <col min="8712" max="8712" width="15.42578125" style="16" customWidth="1"/>
    <col min="8713" max="8713" width="5.140625" style="16" customWidth="1"/>
    <col min="8714" max="8715" width="8.85546875" style="16"/>
    <col min="8716" max="8716" width="3" style="16" customWidth="1"/>
    <col min="8717" max="8719" width="8.85546875" style="16"/>
    <col min="8720" max="8720" width="7" style="16" customWidth="1"/>
    <col min="8721" max="8960" width="8.85546875" style="16"/>
    <col min="8961" max="8961" width="3" style="16" customWidth="1"/>
    <col min="8962" max="8962" width="4.140625" style="16" customWidth="1"/>
    <col min="8963" max="8963" width="54" style="16" customWidth="1"/>
    <col min="8964" max="8964" width="3.7109375" style="16" customWidth="1"/>
    <col min="8965" max="8965" width="90.28515625" style="16" customWidth="1"/>
    <col min="8966" max="8967" width="8.85546875" style="16"/>
    <col min="8968" max="8968" width="15.42578125" style="16" customWidth="1"/>
    <col min="8969" max="8969" width="5.140625" style="16" customWidth="1"/>
    <col min="8970" max="8971" width="8.85546875" style="16"/>
    <col min="8972" max="8972" width="3" style="16" customWidth="1"/>
    <col min="8973" max="8975" width="8.85546875" style="16"/>
    <col min="8976" max="8976" width="7" style="16" customWidth="1"/>
    <col min="8977" max="9216" width="8.85546875" style="16"/>
    <col min="9217" max="9217" width="3" style="16" customWidth="1"/>
    <col min="9218" max="9218" width="4.140625" style="16" customWidth="1"/>
    <col min="9219" max="9219" width="54" style="16" customWidth="1"/>
    <col min="9220" max="9220" width="3.7109375" style="16" customWidth="1"/>
    <col min="9221" max="9221" width="90.28515625" style="16" customWidth="1"/>
    <col min="9222" max="9223" width="8.85546875" style="16"/>
    <col min="9224" max="9224" width="15.42578125" style="16" customWidth="1"/>
    <col min="9225" max="9225" width="5.140625" style="16" customWidth="1"/>
    <col min="9226" max="9227" width="8.85546875" style="16"/>
    <col min="9228" max="9228" width="3" style="16" customWidth="1"/>
    <col min="9229" max="9231" width="8.85546875" style="16"/>
    <col min="9232" max="9232" width="7" style="16" customWidth="1"/>
    <col min="9233" max="9472" width="8.85546875" style="16"/>
    <col min="9473" max="9473" width="3" style="16" customWidth="1"/>
    <col min="9474" max="9474" width="4.140625" style="16" customWidth="1"/>
    <col min="9475" max="9475" width="54" style="16" customWidth="1"/>
    <col min="9476" max="9476" width="3.7109375" style="16" customWidth="1"/>
    <col min="9477" max="9477" width="90.28515625" style="16" customWidth="1"/>
    <col min="9478" max="9479" width="8.85546875" style="16"/>
    <col min="9480" max="9480" width="15.42578125" style="16" customWidth="1"/>
    <col min="9481" max="9481" width="5.140625" style="16" customWidth="1"/>
    <col min="9482" max="9483" width="8.85546875" style="16"/>
    <col min="9484" max="9484" width="3" style="16" customWidth="1"/>
    <col min="9485" max="9487" width="8.85546875" style="16"/>
    <col min="9488" max="9488" width="7" style="16" customWidth="1"/>
    <col min="9489" max="9728" width="8.85546875" style="16"/>
    <col min="9729" max="9729" width="3" style="16" customWidth="1"/>
    <col min="9730" max="9730" width="4.140625" style="16" customWidth="1"/>
    <col min="9731" max="9731" width="54" style="16" customWidth="1"/>
    <col min="9732" max="9732" width="3.7109375" style="16" customWidth="1"/>
    <col min="9733" max="9733" width="90.28515625" style="16" customWidth="1"/>
    <col min="9734" max="9735" width="8.85546875" style="16"/>
    <col min="9736" max="9736" width="15.42578125" style="16" customWidth="1"/>
    <col min="9737" max="9737" width="5.140625" style="16" customWidth="1"/>
    <col min="9738" max="9739" width="8.85546875" style="16"/>
    <col min="9740" max="9740" width="3" style="16" customWidth="1"/>
    <col min="9741" max="9743" width="8.85546875" style="16"/>
    <col min="9744" max="9744" width="7" style="16" customWidth="1"/>
    <col min="9745" max="9984" width="8.85546875" style="16"/>
    <col min="9985" max="9985" width="3" style="16" customWidth="1"/>
    <col min="9986" max="9986" width="4.140625" style="16" customWidth="1"/>
    <col min="9987" max="9987" width="54" style="16" customWidth="1"/>
    <col min="9988" max="9988" width="3.7109375" style="16" customWidth="1"/>
    <col min="9989" max="9989" width="90.28515625" style="16" customWidth="1"/>
    <col min="9990" max="9991" width="8.85546875" style="16"/>
    <col min="9992" max="9992" width="15.42578125" style="16" customWidth="1"/>
    <col min="9993" max="9993" width="5.140625" style="16" customWidth="1"/>
    <col min="9994" max="9995" width="8.85546875" style="16"/>
    <col min="9996" max="9996" width="3" style="16" customWidth="1"/>
    <col min="9997" max="9999" width="8.85546875" style="16"/>
    <col min="10000" max="10000" width="7" style="16" customWidth="1"/>
    <col min="10001" max="10240" width="8.85546875" style="16"/>
    <col min="10241" max="10241" width="3" style="16" customWidth="1"/>
    <col min="10242" max="10242" width="4.140625" style="16" customWidth="1"/>
    <col min="10243" max="10243" width="54" style="16" customWidth="1"/>
    <col min="10244" max="10244" width="3.7109375" style="16" customWidth="1"/>
    <col min="10245" max="10245" width="90.28515625" style="16" customWidth="1"/>
    <col min="10246" max="10247" width="8.85546875" style="16"/>
    <col min="10248" max="10248" width="15.42578125" style="16" customWidth="1"/>
    <col min="10249" max="10249" width="5.140625" style="16" customWidth="1"/>
    <col min="10250" max="10251" width="8.85546875" style="16"/>
    <col min="10252" max="10252" width="3" style="16" customWidth="1"/>
    <col min="10253" max="10255" width="8.85546875" style="16"/>
    <col min="10256" max="10256" width="7" style="16" customWidth="1"/>
    <col min="10257" max="10496" width="8.85546875" style="16"/>
    <col min="10497" max="10497" width="3" style="16" customWidth="1"/>
    <col min="10498" max="10498" width="4.140625" style="16" customWidth="1"/>
    <col min="10499" max="10499" width="54" style="16" customWidth="1"/>
    <col min="10500" max="10500" width="3.7109375" style="16" customWidth="1"/>
    <col min="10501" max="10501" width="90.28515625" style="16" customWidth="1"/>
    <col min="10502" max="10503" width="8.85546875" style="16"/>
    <col min="10504" max="10504" width="15.42578125" style="16" customWidth="1"/>
    <col min="10505" max="10505" width="5.140625" style="16" customWidth="1"/>
    <col min="10506" max="10507" width="8.85546875" style="16"/>
    <col min="10508" max="10508" width="3" style="16" customWidth="1"/>
    <col min="10509" max="10511" width="8.85546875" style="16"/>
    <col min="10512" max="10512" width="7" style="16" customWidth="1"/>
    <col min="10513" max="10752" width="8.85546875" style="16"/>
    <col min="10753" max="10753" width="3" style="16" customWidth="1"/>
    <col min="10754" max="10754" width="4.140625" style="16" customWidth="1"/>
    <col min="10755" max="10755" width="54" style="16" customWidth="1"/>
    <col min="10756" max="10756" width="3.7109375" style="16" customWidth="1"/>
    <col min="10757" max="10757" width="90.28515625" style="16" customWidth="1"/>
    <col min="10758" max="10759" width="8.85546875" style="16"/>
    <col min="10760" max="10760" width="15.42578125" style="16" customWidth="1"/>
    <col min="10761" max="10761" width="5.140625" style="16" customWidth="1"/>
    <col min="10762" max="10763" width="8.85546875" style="16"/>
    <col min="10764" max="10764" width="3" style="16" customWidth="1"/>
    <col min="10765" max="10767" width="8.85546875" style="16"/>
    <col min="10768" max="10768" width="7" style="16" customWidth="1"/>
    <col min="10769" max="11008" width="8.85546875" style="16"/>
    <col min="11009" max="11009" width="3" style="16" customWidth="1"/>
    <col min="11010" max="11010" width="4.140625" style="16" customWidth="1"/>
    <col min="11011" max="11011" width="54" style="16" customWidth="1"/>
    <col min="11012" max="11012" width="3.7109375" style="16" customWidth="1"/>
    <col min="11013" max="11013" width="90.28515625" style="16" customWidth="1"/>
    <col min="11014" max="11015" width="8.85546875" style="16"/>
    <col min="11016" max="11016" width="15.42578125" style="16" customWidth="1"/>
    <col min="11017" max="11017" width="5.140625" style="16" customWidth="1"/>
    <col min="11018" max="11019" width="8.85546875" style="16"/>
    <col min="11020" max="11020" width="3" style="16" customWidth="1"/>
    <col min="11021" max="11023" width="8.85546875" style="16"/>
    <col min="11024" max="11024" width="7" style="16" customWidth="1"/>
    <col min="11025" max="11264" width="8.85546875" style="16"/>
    <col min="11265" max="11265" width="3" style="16" customWidth="1"/>
    <col min="11266" max="11266" width="4.140625" style="16" customWidth="1"/>
    <col min="11267" max="11267" width="54" style="16" customWidth="1"/>
    <col min="11268" max="11268" width="3.7109375" style="16" customWidth="1"/>
    <col min="11269" max="11269" width="90.28515625" style="16" customWidth="1"/>
    <col min="11270" max="11271" width="8.85546875" style="16"/>
    <col min="11272" max="11272" width="15.42578125" style="16" customWidth="1"/>
    <col min="11273" max="11273" width="5.140625" style="16" customWidth="1"/>
    <col min="11274" max="11275" width="8.85546875" style="16"/>
    <col min="11276" max="11276" width="3" style="16" customWidth="1"/>
    <col min="11277" max="11279" width="8.85546875" style="16"/>
    <col min="11280" max="11280" width="7" style="16" customWidth="1"/>
    <col min="11281" max="11520" width="8.85546875" style="16"/>
    <col min="11521" max="11521" width="3" style="16" customWidth="1"/>
    <col min="11522" max="11522" width="4.140625" style="16" customWidth="1"/>
    <col min="11523" max="11523" width="54" style="16" customWidth="1"/>
    <col min="11524" max="11524" width="3.7109375" style="16" customWidth="1"/>
    <col min="11525" max="11525" width="90.28515625" style="16" customWidth="1"/>
    <col min="11526" max="11527" width="8.85546875" style="16"/>
    <col min="11528" max="11528" width="15.42578125" style="16" customWidth="1"/>
    <col min="11529" max="11529" width="5.140625" style="16" customWidth="1"/>
    <col min="11530" max="11531" width="8.85546875" style="16"/>
    <col min="11532" max="11532" width="3" style="16" customWidth="1"/>
    <col min="11533" max="11535" width="8.85546875" style="16"/>
    <col min="11536" max="11536" width="7" style="16" customWidth="1"/>
    <col min="11537" max="11776" width="8.85546875" style="16"/>
    <col min="11777" max="11777" width="3" style="16" customWidth="1"/>
    <col min="11778" max="11778" width="4.140625" style="16" customWidth="1"/>
    <col min="11779" max="11779" width="54" style="16" customWidth="1"/>
    <col min="11780" max="11780" width="3.7109375" style="16" customWidth="1"/>
    <col min="11781" max="11781" width="90.28515625" style="16" customWidth="1"/>
    <col min="11782" max="11783" width="8.85546875" style="16"/>
    <col min="11784" max="11784" width="15.42578125" style="16" customWidth="1"/>
    <col min="11785" max="11785" width="5.140625" style="16" customWidth="1"/>
    <col min="11786" max="11787" width="8.85546875" style="16"/>
    <col min="11788" max="11788" width="3" style="16" customWidth="1"/>
    <col min="11789" max="11791" width="8.85546875" style="16"/>
    <col min="11792" max="11792" width="7" style="16" customWidth="1"/>
    <col min="11793" max="12032" width="8.85546875" style="16"/>
    <col min="12033" max="12033" width="3" style="16" customWidth="1"/>
    <col min="12034" max="12034" width="4.140625" style="16" customWidth="1"/>
    <col min="12035" max="12035" width="54" style="16" customWidth="1"/>
    <col min="12036" max="12036" width="3.7109375" style="16" customWidth="1"/>
    <col min="12037" max="12037" width="90.28515625" style="16" customWidth="1"/>
    <col min="12038" max="12039" width="8.85546875" style="16"/>
    <col min="12040" max="12040" width="15.42578125" style="16" customWidth="1"/>
    <col min="12041" max="12041" width="5.140625" style="16" customWidth="1"/>
    <col min="12042" max="12043" width="8.85546875" style="16"/>
    <col min="12044" max="12044" width="3" style="16" customWidth="1"/>
    <col min="12045" max="12047" width="8.85546875" style="16"/>
    <col min="12048" max="12048" width="7" style="16" customWidth="1"/>
    <col min="12049" max="12288" width="8.85546875" style="16"/>
    <col min="12289" max="12289" width="3" style="16" customWidth="1"/>
    <col min="12290" max="12290" width="4.140625" style="16" customWidth="1"/>
    <col min="12291" max="12291" width="54" style="16" customWidth="1"/>
    <col min="12292" max="12292" width="3.7109375" style="16" customWidth="1"/>
    <col min="12293" max="12293" width="90.28515625" style="16" customWidth="1"/>
    <col min="12294" max="12295" width="8.85546875" style="16"/>
    <col min="12296" max="12296" width="15.42578125" style="16" customWidth="1"/>
    <col min="12297" max="12297" width="5.140625" style="16" customWidth="1"/>
    <col min="12298" max="12299" width="8.85546875" style="16"/>
    <col min="12300" max="12300" width="3" style="16" customWidth="1"/>
    <col min="12301" max="12303" width="8.85546875" style="16"/>
    <col min="12304" max="12304" width="7" style="16" customWidth="1"/>
    <col min="12305" max="12544" width="8.85546875" style="16"/>
    <col min="12545" max="12545" width="3" style="16" customWidth="1"/>
    <col min="12546" max="12546" width="4.140625" style="16" customWidth="1"/>
    <col min="12547" max="12547" width="54" style="16" customWidth="1"/>
    <col min="12548" max="12548" width="3.7109375" style="16" customWidth="1"/>
    <col min="12549" max="12549" width="90.28515625" style="16" customWidth="1"/>
    <col min="12550" max="12551" width="8.85546875" style="16"/>
    <col min="12552" max="12552" width="15.42578125" style="16" customWidth="1"/>
    <col min="12553" max="12553" width="5.140625" style="16" customWidth="1"/>
    <col min="12554" max="12555" width="8.85546875" style="16"/>
    <col min="12556" max="12556" width="3" style="16" customWidth="1"/>
    <col min="12557" max="12559" width="8.85546875" style="16"/>
    <col min="12560" max="12560" width="7" style="16" customWidth="1"/>
    <col min="12561" max="12800" width="8.85546875" style="16"/>
    <col min="12801" max="12801" width="3" style="16" customWidth="1"/>
    <col min="12802" max="12802" width="4.140625" style="16" customWidth="1"/>
    <col min="12803" max="12803" width="54" style="16" customWidth="1"/>
    <col min="12804" max="12804" width="3.7109375" style="16" customWidth="1"/>
    <col min="12805" max="12805" width="90.28515625" style="16" customWidth="1"/>
    <col min="12806" max="12807" width="8.85546875" style="16"/>
    <col min="12808" max="12808" width="15.42578125" style="16" customWidth="1"/>
    <col min="12809" max="12809" width="5.140625" style="16" customWidth="1"/>
    <col min="12810" max="12811" width="8.85546875" style="16"/>
    <col min="12812" max="12812" width="3" style="16" customWidth="1"/>
    <col min="12813" max="12815" width="8.85546875" style="16"/>
    <col min="12816" max="12816" width="7" style="16" customWidth="1"/>
    <col min="12817" max="13056" width="8.85546875" style="16"/>
    <col min="13057" max="13057" width="3" style="16" customWidth="1"/>
    <col min="13058" max="13058" width="4.140625" style="16" customWidth="1"/>
    <col min="13059" max="13059" width="54" style="16" customWidth="1"/>
    <col min="13060" max="13060" width="3.7109375" style="16" customWidth="1"/>
    <col min="13061" max="13061" width="90.28515625" style="16" customWidth="1"/>
    <col min="13062" max="13063" width="8.85546875" style="16"/>
    <col min="13064" max="13064" width="15.42578125" style="16" customWidth="1"/>
    <col min="13065" max="13065" width="5.140625" style="16" customWidth="1"/>
    <col min="13066" max="13067" width="8.85546875" style="16"/>
    <col min="13068" max="13068" width="3" style="16" customWidth="1"/>
    <col min="13069" max="13071" width="8.85546875" style="16"/>
    <col min="13072" max="13072" width="7" style="16" customWidth="1"/>
    <col min="13073" max="13312" width="8.85546875" style="16"/>
    <col min="13313" max="13313" width="3" style="16" customWidth="1"/>
    <col min="13314" max="13314" width="4.140625" style="16" customWidth="1"/>
    <col min="13315" max="13315" width="54" style="16" customWidth="1"/>
    <col min="13316" max="13316" width="3.7109375" style="16" customWidth="1"/>
    <col min="13317" max="13317" width="90.28515625" style="16" customWidth="1"/>
    <col min="13318" max="13319" width="8.85546875" style="16"/>
    <col min="13320" max="13320" width="15.42578125" style="16" customWidth="1"/>
    <col min="13321" max="13321" width="5.140625" style="16" customWidth="1"/>
    <col min="13322" max="13323" width="8.85546875" style="16"/>
    <col min="13324" max="13324" width="3" style="16" customWidth="1"/>
    <col min="13325" max="13327" width="8.85546875" style="16"/>
    <col min="13328" max="13328" width="7" style="16" customWidth="1"/>
    <col min="13329" max="13568" width="8.85546875" style="16"/>
    <col min="13569" max="13569" width="3" style="16" customWidth="1"/>
    <col min="13570" max="13570" width="4.140625" style="16" customWidth="1"/>
    <col min="13571" max="13571" width="54" style="16" customWidth="1"/>
    <col min="13572" max="13572" width="3.7109375" style="16" customWidth="1"/>
    <col min="13573" max="13573" width="90.28515625" style="16" customWidth="1"/>
    <col min="13574" max="13575" width="8.85546875" style="16"/>
    <col min="13576" max="13576" width="15.42578125" style="16" customWidth="1"/>
    <col min="13577" max="13577" width="5.140625" style="16" customWidth="1"/>
    <col min="13578" max="13579" width="8.85546875" style="16"/>
    <col min="13580" max="13580" width="3" style="16" customWidth="1"/>
    <col min="13581" max="13583" width="8.85546875" style="16"/>
    <col min="13584" max="13584" width="7" style="16" customWidth="1"/>
    <col min="13585" max="13824" width="8.85546875" style="16"/>
    <col min="13825" max="13825" width="3" style="16" customWidth="1"/>
    <col min="13826" max="13826" width="4.140625" style="16" customWidth="1"/>
    <col min="13827" max="13827" width="54" style="16" customWidth="1"/>
    <col min="13828" max="13828" width="3.7109375" style="16" customWidth="1"/>
    <col min="13829" max="13829" width="90.28515625" style="16" customWidth="1"/>
    <col min="13830" max="13831" width="8.85546875" style="16"/>
    <col min="13832" max="13832" width="15.42578125" style="16" customWidth="1"/>
    <col min="13833" max="13833" width="5.140625" style="16" customWidth="1"/>
    <col min="13834" max="13835" width="8.85546875" style="16"/>
    <col min="13836" max="13836" width="3" style="16" customWidth="1"/>
    <col min="13837" max="13839" width="8.85546875" style="16"/>
    <col min="13840" max="13840" width="7" style="16" customWidth="1"/>
    <col min="13841" max="14080" width="8.85546875" style="16"/>
    <col min="14081" max="14081" width="3" style="16" customWidth="1"/>
    <col min="14082" max="14082" width="4.140625" style="16" customWidth="1"/>
    <col min="14083" max="14083" width="54" style="16" customWidth="1"/>
    <col min="14084" max="14084" width="3.7109375" style="16" customWidth="1"/>
    <col min="14085" max="14085" width="90.28515625" style="16" customWidth="1"/>
    <col min="14086" max="14087" width="8.85546875" style="16"/>
    <col min="14088" max="14088" width="15.42578125" style="16" customWidth="1"/>
    <col min="14089" max="14089" width="5.140625" style="16" customWidth="1"/>
    <col min="14090" max="14091" width="8.85546875" style="16"/>
    <col min="14092" max="14092" width="3" style="16" customWidth="1"/>
    <col min="14093" max="14095" width="8.85546875" style="16"/>
    <col min="14096" max="14096" width="7" style="16" customWidth="1"/>
    <col min="14097" max="14336" width="8.85546875" style="16"/>
    <col min="14337" max="14337" width="3" style="16" customWidth="1"/>
    <col min="14338" max="14338" width="4.140625" style="16" customWidth="1"/>
    <col min="14339" max="14339" width="54" style="16" customWidth="1"/>
    <col min="14340" max="14340" width="3.7109375" style="16" customWidth="1"/>
    <col min="14341" max="14341" width="90.28515625" style="16" customWidth="1"/>
    <col min="14342" max="14343" width="8.85546875" style="16"/>
    <col min="14344" max="14344" width="15.42578125" style="16" customWidth="1"/>
    <col min="14345" max="14345" width="5.140625" style="16" customWidth="1"/>
    <col min="14346" max="14347" width="8.85546875" style="16"/>
    <col min="14348" max="14348" width="3" style="16" customWidth="1"/>
    <col min="14349" max="14351" width="8.85546875" style="16"/>
    <col min="14352" max="14352" width="7" style="16" customWidth="1"/>
    <col min="14353" max="14592" width="8.85546875" style="16"/>
    <col min="14593" max="14593" width="3" style="16" customWidth="1"/>
    <col min="14594" max="14594" width="4.140625" style="16" customWidth="1"/>
    <col min="14595" max="14595" width="54" style="16" customWidth="1"/>
    <col min="14596" max="14596" width="3.7109375" style="16" customWidth="1"/>
    <col min="14597" max="14597" width="90.28515625" style="16" customWidth="1"/>
    <col min="14598" max="14599" width="8.85546875" style="16"/>
    <col min="14600" max="14600" width="15.42578125" style="16" customWidth="1"/>
    <col min="14601" max="14601" width="5.140625" style="16" customWidth="1"/>
    <col min="14602" max="14603" width="8.85546875" style="16"/>
    <col min="14604" max="14604" width="3" style="16" customWidth="1"/>
    <col min="14605" max="14607" width="8.85546875" style="16"/>
    <col min="14608" max="14608" width="7" style="16" customWidth="1"/>
    <col min="14609" max="14848" width="8.85546875" style="16"/>
    <col min="14849" max="14849" width="3" style="16" customWidth="1"/>
    <col min="14850" max="14850" width="4.140625" style="16" customWidth="1"/>
    <col min="14851" max="14851" width="54" style="16" customWidth="1"/>
    <col min="14852" max="14852" width="3.7109375" style="16" customWidth="1"/>
    <col min="14853" max="14853" width="90.28515625" style="16" customWidth="1"/>
    <col min="14854" max="14855" width="8.85546875" style="16"/>
    <col min="14856" max="14856" width="15.42578125" style="16" customWidth="1"/>
    <col min="14857" max="14857" width="5.140625" style="16" customWidth="1"/>
    <col min="14858" max="14859" width="8.85546875" style="16"/>
    <col min="14860" max="14860" width="3" style="16" customWidth="1"/>
    <col min="14861" max="14863" width="8.85546875" style="16"/>
    <col min="14864" max="14864" width="7" style="16" customWidth="1"/>
    <col min="14865" max="15104" width="8.85546875" style="16"/>
    <col min="15105" max="15105" width="3" style="16" customWidth="1"/>
    <col min="15106" max="15106" width="4.140625" style="16" customWidth="1"/>
    <col min="15107" max="15107" width="54" style="16" customWidth="1"/>
    <col min="15108" max="15108" width="3.7109375" style="16" customWidth="1"/>
    <col min="15109" max="15109" width="90.28515625" style="16" customWidth="1"/>
    <col min="15110" max="15111" width="8.85546875" style="16"/>
    <col min="15112" max="15112" width="15.42578125" style="16" customWidth="1"/>
    <col min="15113" max="15113" width="5.140625" style="16" customWidth="1"/>
    <col min="15114" max="15115" width="8.85546875" style="16"/>
    <col min="15116" max="15116" width="3" style="16" customWidth="1"/>
    <col min="15117" max="15119" width="8.85546875" style="16"/>
    <col min="15120" max="15120" width="7" style="16" customWidth="1"/>
    <col min="15121" max="15360" width="8.85546875" style="16"/>
    <col min="15361" max="15361" width="3" style="16" customWidth="1"/>
    <col min="15362" max="15362" width="4.140625" style="16" customWidth="1"/>
    <col min="15363" max="15363" width="54" style="16" customWidth="1"/>
    <col min="15364" max="15364" width="3.7109375" style="16" customWidth="1"/>
    <col min="15365" max="15365" width="90.28515625" style="16" customWidth="1"/>
    <col min="15366" max="15367" width="8.85546875" style="16"/>
    <col min="15368" max="15368" width="15.42578125" style="16" customWidth="1"/>
    <col min="15369" max="15369" width="5.140625" style="16" customWidth="1"/>
    <col min="15370" max="15371" width="8.85546875" style="16"/>
    <col min="15372" max="15372" width="3" style="16" customWidth="1"/>
    <col min="15373" max="15375" width="8.85546875" style="16"/>
    <col min="15376" max="15376" width="7" style="16" customWidth="1"/>
    <col min="15377" max="15616" width="8.85546875" style="16"/>
    <col min="15617" max="15617" width="3" style="16" customWidth="1"/>
    <col min="15618" max="15618" width="4.140625" style="16" customWidth="1"/>
    <col min="15619" max="15619" width="54" style="16" customWidth="1"/>
    <col min="15620" max="15620" width="3.7109375" style="16" customWidth="1"/>
    <col min="15621" max="15621" width="90.28515625" style="16" customWidth="1"/>
    <col min="15622" max="15623" width="8.85546875" style="16"/>
    <col min="15624" max="15624" width="15.42578125" style="16" customWidth="1"/>
    <col min="15625" max="15625" width="5.140625" style="16" customWidth="1"/>
    <col min="15626" max="15627" width="8.85546875" style="16"/>
    <col min="15628" max="15628" width="3" style="16" customWidth="1"/>
    <col min="15629" max="15631" width="8.85546875" style="16"/>
    <col min="15632" max="15632" width="7" style="16" customWidth="1"/>
    <col min="15633" max="15872" width="8.85546875" style="16"/>
    <col min="15873" max="15873" width="3" style="16" customWidth="1"/>
    <col min="15874" max="15874" width="4.140625" style="16" customWidth="1"/>
    <col min="15875" max="15875" width="54" style="16" customWidth="1"/>
    <col min="15876" max="15876" width="3.7109375" style="16" customWidth="1"/>
    <col min="15877" max="15877" width="90.28515625" style="16" customWidth="1"/>
    <col min="15878" max="15879" width="8.85546875" style="16"/>
    <col min="15880" max="15880" width="15.42578125" style="16" customWidth="1"/>
    <col min="15881" max="15881" width="5.140625" style="16" customWidth="1"/>
    <col min="15882" max="15883" width="8.85546875" style="16"/>
    <col min="15884" max="15884" width="3" style="16" customWidth="1"/>
    <col min="15885" max="15887" width="8.85546875" style="16"/>
    <col min="15888" max="15888" width="7" style="16" customWidth="1"/>
    <col min="15889" max="16128" width="8.85546875" style="16"/>
    <col min="16129" max="16129" width="3" style="16" customWidth="1"/>
    <col min="16130" max="16130" width="4.140625" style="16" customWidth="1"/>
    <col min="16131" max="16131" width="54" style="16" customWidth="1"/>
    <col min="16132" max="16132" width="3.7109375" style="16" customWidth="1"/>
    <col min="16133" max="16133" width="90.28515625" style="16" customWidth="1"/>
    <col min="16134" max="16135" width="8.85546875" style="16"/>
    <col min="16136" max="16136" width="15.42578125" style="16" customWidth="1"/>
    <col min="16137" max="16137" width="5.140625" style="16" customWidth="1"/>
    <col min="16138" max="16139" width="8.85546875" style="16"/>
    <col min="16140" max="16140" width="3" style="16" customWidth="1"/>
    <col min="16141" max="16143" width="8.85546875" style="16"/>
    <col min="16144" max="16144" width="7" style="16" customWidth="1"/>
    <col min="16145" max="16384" width="8.85546875" style="1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5EF5-5821-4711-9C96-390E82298F9A}">
  <dimension ref="A1:X187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15" customWidth="1"/>
    <col min="3" max="3" width="27.85546875" style="15" customWidth="1"/>
    <col min="4" max="5" width="2.28515625" style="15" customWidth="1"/>
    <col min="6" max="6" width="4.85546875" style="15" bestFit="1" customWidth="1"/>
    <col min="7" max="7" width="2.28515625" style="15" customWidth="1"/>
    <col min="8" max="8" width="4.42578125" style="15" bestFit="1" customWidth="1"/>
    <col min="9" max="9" width="2.28515625" style="15" customWidth="1"/>
    <col min="10" max="10" width="4.5703125" style="15" bestFit="1" customWidth="1"/>
    <col min="11" max="11" width="2.28515625" style="15" customWidth="1"/>
    <col min="12" max="12" width="3.5703125" style="15" bestFit="1" customWidth="1"/>
    <col min="13" max="13" width="2.28515625" style="15" customWidth="1"/>
    <col min="14" max="14" width="5.42578125" style="15" bestFit="1" customWidth="1"/>
    <col min="15" max="15" width="2.28515625" style="15" customWidth="1"/>
    <col min="16" max="16" width="6" style="15" bestFit="1" customWidth="1"/>
    <col min="17" max="17" width="2.28515625" style="15" customWidth="1"/>
    <col min="18" max="18" width="4.42578125" style="15" bestFit="1" customWidth="1"/>
    <col min="19" max="19" width="2.28515625" style="15" customWidth="1"/>
    <col min="20" max="20" width="5" style="15" bestFit="1" customWidth="1"/>
    <col min="21" max="21" width="2.28515625" style="15" customWidth="1"/>
    <col min="22" max="22" width="5.85546875" style="15" bestFit="1" customWidth="1"/>
    <col min="23" max="23" width="2.28515625" style="15" customWidth="1"/>
    <col min="24" max="24" width="9.28515625" style="15" bestFit="1" customWidth="1"/>
  </cols>
  <sheetData>
    <row r="1" spans="1:24" s="14" customFormat="1" ht="15.75" thickBot="1" x14ac:dyDescent="0.3">
      <c r="A1" s="12"/>
      <c r="B1" s="12"/>
      <c r="C1" s="12"/>
      <c r="D1" s="12"/>
      <c r="E1" s="12"/>
      <c r="F1" s="13" t="s">
        <v>0</v>
      </c>
      <c r="G1" s="12"/>
      <c r="H1" s="13" t="s">
        <v>1</v>
      </c>
      <c r="I1" s="12"/>
      <c r="J1" s="13" t="s">
        <v>2</v>
      </c>
      <c r="K1" s="12"/>
      <c r="L1" s="13" t="s">
        <v>3</v>
      </c>
      <c r="M1" s="12"/>
      <c r="N1" s="13" t="s">
        <v>4</v>
      </c>
      <c r="O1" s="12"/>
      <c r="P1" s="13" t="s">
        <v>5</v>
      </c>
      <c r="Q1" s="12"/>
      <c r="R1" s="13" t="s">
        <v>6</v>
      </c>
      <c r="S1" s="12"/>
      <c r="T1" s="13" t="s">
        <v>7</v>
      </c>
      <c r="U1" s="12"/>
      <c r="V1" s="13" t="s">
        <v>8</v>
      </c>
      <c r="W1" s="12"/>
      <c r="X1" s="13" t="s">
        <v>9</v>
      </c>
    </row>
    <row r="2" spans="1:24" ht="15.75" thickTop="1" x14ac:dyDescent="0.25">
      <c r="A2" s="1"/>
      <c r="B2" s="1" t="s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>
        <v>18167.14</v>
      </c>
    </row>
    <row r="3" spans="1:24" x14ac:dyDescent="0.25">
      <c r="A3" s="3"/>
      <c r="B3" s="3" t="s">
        <v>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>
        <f>X2</f>
        <v>18167.14</v>
      </c>
    </row>
    <row r="4" spans="1:24" x14ac:dyDescent="0.25">
      <c r="A4" s="1"/>
      <c r="B4" s="1" t="s">
        <v>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>
        <v>0</v>
      </c>
    </row>
    <row r="5" spans="1:24" x14ac:dyDescent="0.25">
      <c r="A5" s="3"/>
      <c r="B5" s="3" t="s">
        <v>13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>
        <f>X4</f>
        <v>0</v>
      </c>
    </row>
    <row r="6" spans="1:24" x14ac:dyDescent="0.25">
      <c r="A6" s="1"/>
      <c r="B6" s="1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>
        <v>0</v>
      </c>
    </row>
    <row r="7" spans="1:24" x14ac:dyDescent="0.25">
      <c r="A7" s="3"/>
      <c r="B7" s="3" t="s">
        <v>15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>
        <f>X6</f>
        <v>0</v>
      </c>
    </row>
    <row r="8" spans="1:24" x14ac:dyDescent="0.25">
      <c r="A8" s="1"/>
      <c r="B8" s="1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>
        <v>-69373</v>
      </c>
    </row>
    <row r="9" spans="1:24" x14ac:dyDescent="0.25">
      <c r="A9" s="3"/>
      <c r="B9" s="3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>
        <f>X8</f>
        <v>-69373</v>
      </c>
    </row>
    <row r="10" spans="1:24" x14ac:dyDescent="0.25">
      <c r="A10" s="1"/>
      <c r="B10" s="1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>
        <v>130295.44</v>
      </c>
    </row>
    <row r="11" spans="1:24" x14ac:dyDescent="0.25">
      <c r="A11" s="3"/>
      <c r="B11" s="3" t="s">
        <v>19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>
        <f>X10</f>
        <v>130295.44</v>
      </c>
    </row>
    <row r="12" spans="1:24" x14ac:dyDescent="0.25">
      <c r="A12" s="1"/>
      <c r="B12" s="1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>
        <v>31787.27</v>
      </c>
    </row>
    <row r="13" spans="1:24" x14ac:dyDescent="0.25">
      <c r="A13" s="3"/>
      <c r="B13" s="3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>
        <f>X12</f>
        <v>31787.27</v>
      </c>
    </row>
    <row r="14" spans="1:24" x14ac:dyDescent="0.25">
      <c r="A14" s="1"/>
      <c r="B14" s="1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>
        <v>0</v>
      </c>
    </row>
    <row r="15" spans="1:24" x14ac:dyDescent="0.25">
      <c r="A15" s="3"/>
      <c r="B15" s="3" t="s">
        <v>23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>
        <f>X14</f>
        <v>0</v>
      </c>
    </row>
    <row r="16" spans="1:24" x14ac:dyDescent="0.25">
      <c r="A16" s="1"/>
      <c r="B16" s="1" t="s">
        <v>24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">
        <v>0</v>
      </c>
    </row>
    <row r="17" spans="1:24" x14ac:dyDescent="0.25">
      <c r="A17" s="3"/>
      <c r="B17" s="3" t="s">
        <v>25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>
        <f>X16</f>
        <v>0</v>
      </c>
    </row>
    <row r="18" spans="1:24" x14ac:dyDescent="0.25">
      <c r="A18" s="1"/>
      <c r="B18" s="1" t="s">
        <v>26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>
        <v>-23015.19</v>
      </c>
    </row>
    <row r="19" spans="1:24" x14ac:dyDescent="0.25">
      <c r="A19" s="3"/>
      <c r="B19" s="3" t="s">
        <v>27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>
        <f>X18</f>
        <v>-23015.19</v>
      </c>
    </row>
    <row r="20" spans="1:24" x14ac:dyDescent="0.25">
      <c r="A20" s="1"/>
      <c r="B20" s="1" t="s">
        <v>28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">
        <v>-2671.64</v>
      </c>
    </row>
    <row r="21" spans="1:24" x14ac:dyDescent="0.25">
      <c r="A21" s="3"/>
      <c r="B21" s="3" t="s">
        <v>29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4">
        <f>X20</f>
        <v>-2671.64</v>
      </c>
    </row>
    <row r="22" spans="1:24" x14ac:dyDescent="0.25">
      <c r="A22" s="1"/>
      <c r="B22" s="1" t="s">
        <v>30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>
        <v>-1261.24</v>
      </c>
    </row>
    <row r="23" spans="1:24" x14ac:dyDescent="0.25">
      <c r="A23" s="3"/>
      <c r="B23" s="3" t="s">
        <v>31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4">
        <f>X22</f>
        <v>-1261.24</v>
      </c>
    </row>
    <row r="24" spans="1:24" x14ac:dyDescent="0.25">
      <c r="A24" s="1"/>
      <c r="B24" s="1" t="s">
        <v>32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>
        <v>-4739.21</v>
      </c>
    </row>
    <row r="25" spans="1:24" x14ac:dyDescent="0.25">
      <c r="A25" s="3"/>
      <c r="B25" s="3" t="s">
        <v>33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4">
        <f>X24</f>
        <v>-4739.21</v>
      </c>
    </row>
    <row r="26" spans="1:24" x14ac:dyDescent="0.25">
      <c r="A26" s="1"/>
      <c r="B26" s="1" t="s">
        <v>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>
        <v>-4273.7</v>
      </c>
    </row>
    <row r="27" spans="1:24" x14ac:dyDescent="0.25">
      <c r="A27" s="3"/>
      <c r="B27" s="3" t="s">
        <v>35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4">
        <f>X26</f>
        <v>-4273.7</v>
      </c>
    </row>
    <row r="28" spans="1:24" x14ac:dyDescent="0.25">
      <c r="A28" s="1"/>
      <c r="B28" s="1" t="s">
        <v>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>
        <v>79067.429999999993</v>
      </c>
    </row>
    <row r="29" spans="1:24" x14ac:dyDescent="0.25">
      <c r="A29" s="3"/>
      <c r="B29" s="3" t="s">
        <v>37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4">
        <f>X28</f>
        <v>79067.429999999993</v>
      </c>
    </row>
    <row r="30" spans="1:24" x14ac:dyDescent="0.25">
      <c r="A30" s="1"/>
      <c r="B30" s="1" t="s">
        <v>38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">
        <v>-8217.24</v>
      </c>
    </row>
    <row r="31" spans="1:24" x14ac:dyDescent="0.25">
      <c r="A31" s="3"/>
      <c r="B31" s="3" t="s">
        <v>39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4">
        <f>X30</f>
        <v>-8217.24</v>
      </c>
    </row>
    <row r="32" spans="1:24" x14ac:dyDescent="0.25">
      <c r="A32" s="1"/>
      <c r="B32" s="1" t="s">
        <v>40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>
        <v>0</v>
      </c>
    </row>
    <row r="33" spans="1:24" x14ac:dyDescent="0.25">
      <c r="A33" s="3"/>
      <c r="B33" s="3" t="s">
        <v>41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4">
        <f>X32</f>
        <v>0</v>
      </c>
    </row>
    <row r="34" spans="1:24" x14ac:dyDescent="0.25">
      <c r="A34" s="1"/>
      <c r="B34" s="1" t="s">
        <v>42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>
        <v>-26921.86</v>
      </c>
    </row>
    <row r="35" spans="1:24" x14ac:dyDescent="0.25">
      <c r="A35" s="3"/>
      <c r="B35" s="3" t="s">
        <v>43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4">
        <f>X34</f>
        <v>-26921.86</v>
      </c>
    </row>
    <row r="36" spans="1:24" x14ac:dyDescent="0.25">
      <c r="A36" s="1"/>
      <c r="B36" s="1" t="s">
        <v>44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>
        <v>27865.26</v>
      </c>
    </row>
    <row r="37" spans="1:24" x14ac:dyDescent="0.25">
      <c r="A37" s="3"/>
      <c r="B37" s="3" t="s">
        <v>45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4">
        <f>X36</f>
        <v>27865.26</v>
      </c>
    </row>
    <row r="38" spans="1:24" x14ac:dyDescent="0.25">
      <c r="A38" s="1"/>
      <c r="B38" s="1" t="s">
        <v>46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>
        <v>0</v>
      </c>
    </row>
    <row r="39" spans="1:24" x14ac:dyDescent="0.25">
      <c r="A39" s="3"/>
      <c r="B39" s="3" t="s">
        <v>47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4">
        <f>X38</f>
        <v>0</v>
      </c>
    </row>
    <row r="40" spans="1:24" x14ac:dyDescent="0.25">
      <c r="A40" s="1"/>
      <c r="B40" s="1" t="s">
        <v>48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>
        <v>0</v>
      </c>
    </row>
    <row r="41" spans="1:24" x14ac:dyDescent="0.25">
      <c r="A41" s="3"/>
      <c r="B41" s="3" t="s">
        <v>49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4">
        <f>X40</f>
        <v>0</v>
      </c>
    </row>
    <row r="42" spans="1:24" x14ac:dyDescent="0.25">
      <c r="A42" s="1"/>
      <c r="B42" s="1" t="s">
        <v>50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>
        <v>-100</v>
      </c>
    </row>
    <row r="43" spans="1:24" x14ac:dyDescent="0.25">
      <c r="A43" s="3"/>
      <c r="B43" s="3" t="s">
        <v>51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4">
        <f>X42</f>
        <v>-100</v>
      </c>
    </row>
    <row r="44" spans="1:24" x14ac:dyDescent="0.25">
      <c r="A44" s="1"/>
      <c r="B44" s="1" t="s">
        <v>52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>
        <v>0</v>
      </c>
    </row>
    <row r="45" spans="1:24" x14ac:dyDescent="0.25">
      <c r="A45" s="3"/>
      <c r="B45" s="3" t="s">
        <v>53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4">
        <f>X44</f>
        <v>0</v>
      </c>
    </row>
    <row r="46" spans="1:24" x14ac:dyDescent="0.25">
      <c r="A46" s="1"/>
      <c r="B46" s="1" t="s">
        <v>54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>
        <v>-340343.38</v>
      </c>
    </row>
    <row r="47" spans="1:24" x14ac:dyDescent="0.25">
      <c r="A47" s="3"/>
      <c r="B47" s="3" t="s">
        <v>55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4">
        <v>-340343.38</v>
      </c>
    </row>
    <row r="48" spans="1:24" x14ac:dyDescent="0.25">
      <c r="A48" s="1"/>
      <c r="B48" s="1" t="s">
        <v>56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>
        <v>179450.38</v>
      </c>
    </row>
    <row r="49" spans="1:24" x14ac:dyDescent="0.25">
      <c r="A49" s="1"/>
      <c r="B49" s="1"/>
      <c r="C49" s="1" t="s">
        <v>57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>
        <v>1675.5</v>
      </c>
    </row>
    <row r="50" spans="1:24" x14ac:dyDescent="0.25">
      <c r="A50" s="3"/>
      <c r="B50" s="3"/>
      <c r="C50" s="3" t="s">
        <v>58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4">
        <f>X49</f>
        <v>1675.5</v>
      </c>
    </row>
    <row r="51" spans="1:24" x14ac:dyDescent="0.25">
      <c r="A51" s="1"/>
      <c r="B51" s="1"/>
      <c r="C51" s="1" t="s">
        <v>59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>
        <v>207965</v>
      </c>
    </row>
    <row r="52" spans="1:24" x14ac:dyDescent="0.25">
      <c r="A52" s="3"/>
      <c r="B52" s="3"/>
      <c r="C52" s="3" t="s">
        <v>60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4">
        <f>X51</f>
        <v>207965</v>
      </c>
    </row>
    <row r="53" spans="1:24" x14ac:dyDescent="0.25">
      <c r="A53" s="1"/>
      <c r="B53" s="1"/>
      <c r="C53" s="1" t="s">
        <v>61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>
        <v>-30190.12</v>
      </c>
    </row>
    <row r="54" spans="1:24" ht="15.75" thickBot="1" x14ac:dyDescent="0.3">
      <c r="A54" s="3"/>
      <c r="B54" s="3"/>
      <c r="C54" s="3" t="s">
        <v>62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5"/>
      <c r="U54" s="3"/>
      <c r="V54" s="5"/>
      <c r="W54" s="3"/>
      <c r="X54" s="6">
        <f>X53</f>
        <v>-30190.12</v>
      </c>
    </row>
    <row r="55" spans="1:24" x14ac:dyDescent="0.25">
      <c r="A55" s="3"/>
      <c r="B55" s="3" t="s">
        <v>63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4">
        <f>ROUND(X50+X52+X54,5)</f>
        <v>179450.38</v>
      </c>
    </row>
    <row r="56" spans="1:24" x14ac:dyDescent="0.25">
      <c r="A56" s="1"/>
      <c r="B56" s="1" t="s">
        <v>64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>
        <v>171.34</v>
      </c>
    </row>
    <row r="57" spans="1:24" x14ac:dyDescent="0.25">
      <c r="A57" s="1"/>
      <c r="B57" s="1"/>
      <c r="C57" s="1" t="s">
        <v>65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>
        <v>171.34</v>
      </c>
    </row>
    <row r="58" spans="1:24" x14ac:dyDescent="0.25">
      <c r="A58" s="3"/>
      <c r="B58" s="3"/>
      <c r="C58" s="3" t="s">
        <v>66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4">
        <f>X57</f>
        <v>171.34</v>
      </c>
    </row>
    <row r="59" spans="1:24" x14ac:dyDescent="0.25">
      <c r="A59" s="1"/>
      <c r="B59" s="1"/>
      <c r="C59" s="1" t="s">
        <v>67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>
        <v>0</v>
      </c>
    </row>
    <row r="60" spans="1:24" ht="15.75" thickBot="1" x14ac:dyDescent="0.3">
      <c r="A60" s="3"/>
      <c r="B60" s="3"/>
      <c r="C60" s="3" t="s">
        <v>68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5"/>
      <c r="U60" s="3"/>
      <c r="V60" s="5"/>
      <c r="W60" s="3"/>
      <c r="X60" s="6">
        <f>X59</f>
        <v>0</v>
      </c>
    </row>
    <row r="61" spans="1:24" x14ac:dyDescent="0.25">
      <c r="A61" s="3"/>
      <c r="B61" s="3" t="s">
        <v>69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4">
        <f>ROUND(X58+X60,5)</f>
        <v>171.34</v>
      </c>
    </row>
    <row r="62" spans="1:24" x14ac:dyDescent="0.25">
      <c r="A62" s="1"/>
      <c r="B62" s="1" t="s">
        <v>70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>
        <v>68.569999999999993</v>
      </c>
    </row>
    <row r="63" spans="1:24" x14ac:dyDescent="0.25">
      <c r="A63" s="3"/>
      <c r="B63" s="3" t="s">
        <v>71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4">
        <f>X62</f>
        <v>68.569999999999993</v>
      </c>
    </row>
    <row r="64" spans="1:24" x14ac:dyDescent="0.25">
      <c r="A64" s="1"/>
      <c r="B64" s="1" t="s">
        <v>72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>
        <v>0</v>
      </c>
    </row>
    <row r="65" spans="1:24" x14ac:dyDescent="0.25">
      <c r="A65" s="3"/>
      <c r="B65" s="3" t="s">
        <v>73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4">
        <f>X64</f>
        <v>0</v>
      </c>
    </row>
    <row r="66" spans="1:24" x14ac:dyDescent="0.25">
      <c r="A66" s="1"/>
      <c r="B66" s="1" t="s">
        <v>74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>
        <v>0</v>
      </c>
    </row>
    <row r="67" spans="1:24" x14ac:dyDescent="0.25">
      <c r="A67" s="3"/>
      <c r="B67" s="3" t="s">
        <v>75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4">
        <f>X66</f>
        <v>0</v>
      </c>
    </row>
    <row r="68" spans="1:24" x14ac:dyDescent="0.25">
      <c r="A68" s="1"/>
      <c r="B68" s="1" t="s">
        <v>76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>
        <v>0</v>
      </c>
    </row>
    <row r="69" spans="1:24" x14ac:dyDescent="0.25">
      <c r="A69" s="3"/>
      <c r="B69" s="3" t="s">
        <v>77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4">
        <f>X68</f>
        <v>0</v>
      </c>
    </row>
    <row r="70" spans="1:24" x14ac:dyDescent="0.25">
      <c r="A70" s="1"/>
      <c r="B70" s="1" t="s">
        <v>78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>
        <v>3276.66</v>
      </c>
    </row>
    <row r="71" spans="1:24" x14ac:dyDescent="0.25">
      <c r="A71" s="3"/>
      <c r="B71" s="3" t="s">
        <v>79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4">
        <f>X70</f>
        <v>3276.66</v>
      </c>
    </row>
    <row r="72" spans="1:24" x14ac:dyDescent="0.25">
      <c r="A72" s="1"/>
      <c r="B72" s="1" t="s">
        <v>80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>
        <v>0</v>
      </c>
    </row>
    <row r="73" spans="1:24" x14ac:dyDescent="0.25">
      <c r="A73" s="3"/>
      <c r="B73" s="3" t="s">
        <v>81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4">
        <f>X72</f>
        <v>0</v>
      </c>
    </row>
    <row r="74" spans="1:24" x14ac:dyDescent="0.25">
      <c r="A74" s="1"/>
      <c r="B74" s="1" t="s">
        <v>82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>
        <v>1200</v>
      </c>
    </row>
    <row r="75" spans="1:24" x14ac:dyDescent="0.25">
      <c r="A75" s="3"/>
      <c r="B75" s="3" t="s">
        <v>83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4">
        <f>X74</f>
        <v>1200</v>
      </c>
    </row>
    <row r="76" spans="1:24" x14ac:dyDescent="0.25">
      <c r="A76" s="1"/>
      <c r="B76" s="1" t="s">
        <v>84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>
        <v>1545.43</v>
      </c>
    </row>
    <row r="77" spans="1:24" x14ac:dyDescent="0.25">
      <c r="A77" s="1"/>
      <c r="B77" s="1"/>
      <c r="C77" s="1" t="s">
        <v>85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>
        <v>0</v>
      </c>
    </row>
    <row r="78" spans="1:24" x14ac:dyDescent="0.25">
      <c r="A78" s="3"/>
      <c r="B78" s="3"/>
      <c r="C78" s="3" t="s">
        <v>86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4">
        <f>X77</f>
        <v>0</v>
      </c>
    </row>
    <row r="79" spans="1:24" x14ac:dyDescent="0.25">
      <c r="A79" s="1"/>
      <c r="B79" s="1"/>
      <c r="C79" s="1" t="s">
        <v>87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">
        <v>448.36</v>
      </c>
    </row>
    <row r="80" spans="1:24" x14ac:dyDescent="0.25">
      <c r="A80" s="3"/>
      <c r="B80" s="3"/>
      <c r="C80" s="3" t="s">
        <v>88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4">
        <f>X79</f>
        <v>448.36</v>
      </c>
    </row>
    <row r="81" spans="1:24" x14ac:dyDescent="0.25">
      <c r="A81" s="1"/>
      <c r="B81" s="1"/>
      <c r="C81" s="1" t="s">
        <v>89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">
        <v>988.54</v>
      </c>
    </row>
    <row r="82" spans="1:24" x14ac:dyDescent="0.25">
      <c r="A82" s="3"/>
      <c r="B82" s="3"/>
      <c r="C82" s="3" t="s">
        <v>90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4">
        <f>X81</f>
        <v>988.54</v>
      </c>
    </row>
    <row r="83" spans="1:24" x14ac:dyDescent="0.25">
      <c r="A83" s="1"/>
      <c r="B83" s="1"/>
      <c r="C83" s="1" t="s">
        <v>91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">
        <v>0</v>
      </c>
    </row>
    <row r="84" spans="1:24" x14ac:dyDescent="0.25">
      <c r="A84" s="3"/>
      <c r="B84" s="3"/>
      <c r="C84" s="3" t="s">
        <v>92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4">
        <f>X83</f>
        <v>0</v>
      </c>
    </row>
    <row r="85" spans="1:24" x14ac:dyDescent="0.25">
      <c r="A85" s="1"/>
      <c r="B85" s="1"/>
      <c r="C85" s="1" t="s">
        <v>93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2">
        <v>0</v>
      </c>
    </row>
    <row r="86" spans="1:24" x14ac:dyDescent="0.25">
      <c r="A86" s="3"/>
      <c r="B86" s="3"/>
      <c r="C86" s="3" t="s">
        <v>94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4">
        <f>X85</f>
        <v>0</v>
      </c>
    </row>
    <row r="87" spans="1:24" x14ac:dyDescent="0.25">
      <c r="A87" s="1"/>
      <c r="B87" s="1"/>
      <c r="C87" s="1" t="s">
        <v>95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2">
        <v>0</v>
      </c>
    </row>
    <row r="88" spans="1:24" x14ac:dyDescent="0.25">
      <c r="A88" s="3"/>
      <c r="B88" s="3"/>
      <c r="C88" s="3" t="s">
        <v>96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4">
        <f>X87</f>
        <v>0</v>
      </c>
    </row>
    <row r="89" spans="1:24" x14ac:dyDescent="0.25">
      <c r="A89" s="1"/>
      <c r="B89" s="1"/>
      <c r="C89" s="1" t="s">
        <v>97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2">
        <v>0</v>
      </c>
    </row>
    <row r="90" spans="1:24" x14ac:dyDescent="0.25">
      <c r="A90" s="3"/>
      <c r="B90" s="3"/>
      <c r="C90" s="3" t="s">
        <v>98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4">
        <f>X89</f>
        <v>0</v>
      </c>
    </row>
    <row r="91" spans="1:24" x14ac:dyDescent="0.25">
      <c r="A91" s="1"/>
      <c r="B91" s="1"/>
      <c r="C91" s="1" t="s">
        <v>99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2">
        <v>108.53</v>
      </c>
    </row>
    <row r="92" spans="1:24" ht="15.75" thickBot="1" x14ac:dyDescent="0.3">
      <c r="A92" s="3"/>
      <c r="B92" s="3"/>
      <c r="C92" s="3" t="s">
        <v>100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5"/>
      <c r="U92" s="3"/>
      <c r="V92" s="5"/>
      <c r="W92" s="3"/>
      <c r="X92" s="6">
        <f>X91</f>
        <v>108.53</v>
      </c>
    </row>
    <row r="93" spans="1:24" x14ac:dyDescent="0.25">
      <c r="A93" s="3"/>
      <c r="B93" s="3" t="s">
        <v>101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4">
        <f>ROUND(X78+X80+X82+X84+X86+X88+X90+X92,5)</f>
        <v>1545.43</v>
      </c>
    </row>
    <row r="94" spans="1:24" x14ac:dyDescent="0.25">
      <c r="A94" s="1"/>
      <c r="B94" s="1" t="s">
        <v>102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">
        <v>33.85</v>
      </c>
    </row>
    <row r="95" spans="1:24" x14ac:dyDescent="0.25">
      <c r="A95" s="3"/>
      <c r="B95" s="3" t="s">
        <v>103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4">
        <f>X94</f>
        <v>33.85</v>
      </c>
    </row>
    <row r="96" spans="1:24" x14ac:dyDescent="0.25">
      <c r="A96" s="1"/>
      <c r="B96" s="1" t="s">
        <v>104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2">
        <v>1345.5</v>
      </c>
    </row>
    <row r="97" spans="1:24" x14ac:dyDescent="0.25">
      <c r="A97" s="3"/>
      <c r="B97" s="3" t="s">
        <v>105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4">
        <f>X96</f>
        <v>1345.5</v>
      </c>
    </row>
    <row r="98" spans="1:24" x14ac:dyDescent="0.25">
      <c r="A98" s="1"/>
      <c r="B98" s="1" t="s">
        <v>106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2">
        <v>0</v>
      </c>
    </row>
    <row r="99" spans="1:24" x14ac:dyDescent="0.25">
      <c r="A99" s="3"/>
      <c r="B99" s="3" t="s">
        <v>107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4">
        <f>X98</f>
        <v>0</v>
      </c>
    </row>
    <row r="100" spans="1:24" x14ac:dyDescent="0.25">
      <c r="A100" s="1"/>
      <c r="B100" s="1" t="s">
        <v>108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2">
        <v>748.75</v>
      </c>
    </row>
    <row r="101" spans="1:24" x14ac:dyDescent="0.25">
      <c r="A101" s="3"/>
      <c r="B101" s="3" t="s">
        <v>109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4">
        <f>X100</f>
        <v>748.75</v>
      </c>
    </row>
    <row r="102" spans="1:24" x14ac:dyDescent="0.25">
      <c r="A102" s="1"/>
      <c r="B102" s="1" t="s">
        <v>110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2">
        <v>0</v>
      </c>
    </row>
    <row r="103" spans="1:24" x14ac:dyDescent="0.25">
      <c r="A103" s="3"/>
      <c r="B103" s="3" t="s">
        <v>111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4">
        <f>X102</f>
        <v>0</v>
      </c>
    </row>
    <row r="104" spans="1:24" x14ac:dyDescent="0.25">
      <c r="A104" s="1"/>
      <c r="B104" s="1" t="s">
        <v>112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2">
        <v>2247.4</v>
      </c>
    </row>
    <row r="105" spans="1:24" x14ac:dyDescent="0.25">
      <c r="A105" s="3"/>
      <c r="B105" s="3" t="s">
        <v>113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4">
        <f>X104</f>
        <v>2247.4</v>
      </c>
    </row>
    <row r="106" spans="1:24" x14ac:dyDescent="0.25">
      <c r="A106" s="1"/>
      <c r="B106" s="1" t="s">
        <v>114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2">
        <v>19.97</v>
      </c>
    </row>
    <row r="107" spans="1:24" x14ac:dyDescent="0.25">
      <c r="A107" s="3"/>
      <c r="B107" s="3" t="s">
        <v>115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4">
        <f>X106</f>
        <v>19.97</v>
      </c>
    </row>
    <row r="108" spans="1:24" x14ac:dyDescent="0.25">
      <c r="A108" s="1"/>
      <c r="B108" s="1" t="s">
        <v>116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2">
        <v>0</v>
      </c>
    </row>
    <row r="109" spans="1:24" x14ac:dyDescent="0.25">
      <c r="A109" s="3"/>
      <c r="B109" s="3" t="s">
        <v>117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4">
        <f>X108</f>
        <v>0</v>
      </c>
    </row>
    <row r="110" spans="1:24" x14ac:dyDescent="0.25">
      <c r="A110" s="1"/>
      <c r="B110" s="1" t="s">
        <v>118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2">
        <v>34.130000000000003</v>
      </c>
    </row>
    <row r="111" spans="1:24" x14ac:dyDescent="0.25">
      <c r="A111" s="3"/>
      <c r="B111" s="3" t="s">
        <v>119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4">
        <f>X110</f>
        <v>34.130000000000003</v>
      </c>
    </row>
    <row r="112" spans="1:24" x14ac:dyDescent="0.25">
      <c r="A112" s="1"/>
      <c r="B112" s="1" t="s">
        <v>120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2">
        <v>105.74</v>
      </c>
    </row>
    <row r="113" spans="1:24" x14ac:dyDescent="0.25">
      <c r="A113" s="1"/>
      <c r="B113" s="1"/>
      <c r="C113" s="1" t="s">
        <v>121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2">
        <v>0</v>
      </c>
    </row>
    <row r="114" spans="1:24" x14ac:dyDescent="0.25">
      <c r="A114" s="3"/>
      <c r="B114" s="3"/>
      <c r="C114" s="3" t="s">
        <v>122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4">
        <f>X113</f>
        <v>0</v>
      </c>
    </row>
    <row r="115" spans="1:24" x14ac:dyDescent="0.25">
      <c r="A115" s="1"/>
      <c r="B115" s="1"/>
      <c r="C115" s="1" t="s">
        <v>123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2">
        <v>105.74</v>
      </c>
    </row>
    <row r="116" spans="1:24" ht="15.75" thickBot="1" x14ac:dyDescent="0.3">
      <c r="A116" s="3"/>
      <c r="B116" s="3"/>
      <c r="C116" s="3" t="s">
        <v>124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5"/>
      <c r="U116" s="3"/>
      <c r="V116" s="5"/>
      <c r="W116" s="3"/>
      <c r="X116" s="6">
        <f>X115</f>
        <v>105.74</v>
      </c>
    </row>
    <row r="117" spans="1:24" x14ac:dyDescent="0.25">
      <c r="A117" s="3"/>
      <c r="B117" s="3" t="s">
        <v>125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4">
        <f>ROUND(X114+X116,5)</f>
        <v>105.74</v>
      </c>
    </row>
    <row r="118" spans="1:24" x14ac:dyDescent="0.25">
      <c r="A118" s="1"/>
      <c r="B118" s="1" t="s">
        <v>126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2">
        <v>0</v>
      </c>
    </row>
    <row r="119" spans="1:24" x14ac:dyDescent="0.25">
      <c r="A119" s="3"/>
      <c r="B119" s="3" t="s">
        <v>127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4">
        <f>X118</f>
        <v>0</v>
      </c>
    </row>
    <row r="120" spans="1:24" x14ac:dyDescent="0.25">
      <c r="A120" s="1"/>
      <c r="B120" s="1" t="s">
        <v>128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">
        <v>1120.18</v>
      </c>
    </row>
    <row r="121" spans="1:24" x14ac:dyDescent="0.25">
      <c r="A121" s="3"/>
      <c r="B121" s="3" t="s">
        <v>129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4">
        <f>X120</f>
        <v>1120.18</v>
      </c>
    </row>
    <row r="122" spans="1:24" x14ac:dyDescent="0.25">
      <c r="A122" s="1"/>
      <c r="B122" s="1" t="s">
        <v>130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">
        <v>1122.5</v>
      </c>
    </row>
    <row r="123" spans="1:24" x14ac:dyDescent="0.25">
      <c r="A123" s="3"/>
      <c r="B123" s="3" t="s">
        <v>131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4">
        <f>X122</f>
        <v>1122.5</v>
      </c>
    </row>
    <row r="124" spans="1:24" x14ac:dyDescent="0.25">
      <c r="A124" s="1"/>
      <c r="B124" s="1" t="s">
        <v>132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2">
        <v>0</v>
      </c>
    </row>
    <row r="125" spans="1:24" x14ac:dyDescent="0.25">
      <c r="A125" s="3"/>
      <c r="B125" s="3" t="s">
        <v>133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4">
        <f>X124</f>
        <v>0</v>
      </c>
    </row>
    <row r="126" spans="1:24" x14ac:dyDescent="0.25">
      <c r="A126" s="1"/>
      <c r="B126" s="1" t="s">
        <v>134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">
        <v>0</v>
      </c>
    </row>
    <row r="127" spans="1:24" x14ac:dyDescent="0.25">
      <c r="A127" s="1"/>
      <c r="B127" s="1"/>
      <c r="C127" s="1" t="s">
        <v>135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2">
        <v>0</v>
      </c>
    </row>
    <row r="128" spans="1:24" x14ac:dyDescent="0.25">
      <c r="A128" s="3"/>
      <c r="B128" s="3"/>
      <c r="C128" s="3" t="s">
        <v>136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4">
        <f>X127</f>
        <v>0</v>
      </c>
    </row>
    <row r="129" spans="1:24" x14ac:dyDescent="0.25">
      <c r="A129" s="1"/>
      <c r="B129" s="1"/>
      <c r="C129" s="1" t="s">
        <v>137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2">
        <v>0</v>
      </c>
    </row>
    <row r="130" spans="1:24" x14ac:dyDescent="0.25">
      <c r="A130" s="3"/>
      <c r="B130" s="3"/>
      <c r="C130" s="3" t="s">
        <v>138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4">
        <f>X129</f>
        <v>0</v>
      </c>
    </row>
    <row r="131" spans="1:24" x14ac:dyDescent="0.25">
      <c r="A131" s="1"/>
      <c r="B131" s="1"/>
      <c r="C131" s="1" t="s">
        <v>139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2">
        <v>0</v>
      </c>
    </row>
    <row r="132" spans="1:24" x14ac:dyDescent="0.25">
      <c r="A132" s="3"/>
      <c r="B132" s="3"/>
      <c r="C132" s="3" t="s">
        <v>140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4">
        <f>X131</f>
        <v>0</v>
      </c>
    </row>
    <row r="133" spans="1:24" x14ac:dyDescent="0.25">
      <c r="A133" s="1"/>
      <c r="B133" s="1"/>
      <c r="C133" s="1" t="s">
        <v>141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2">
        <v>0</v>
      </c>
    </row>
    <row r="134" spans="1:24" ht="15.75" thickBot="1" x14ac:dyDescent="0.3">
      <c r="A134" s="3"/>
      <c r="B134" s="3"/>
      <c r="C134" s="3" t="s">
        <v>142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5"/>
      <c r="U134" s="3"/>
      <c r="V134" s="5"/>
      <c r="W134" s="3"/>
      <c r="X134" s="6">
        <f>X133</f>
        <v>0</v>
      </c>
    </row>
    <row r="135" spans="1:24" x14ac:dyDescent="0.25">
      <c r="A135" s="3"/>
      <c r="B135" s="3" t="s">
        <v>143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4">
        <f>ROUND(X128+X130+X132+X134,5)</f>
        <v>0</v>
      </c>
    </row>
    <row r="136" spans="1:24" x14ac:dyDescent="0.25">
      <c r="A136" s="1"/>
      <c r="B136" s="1" t="s">
        <v>144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2">
        <v>0</v>
      </c>
    </row>
    <row r="137" spans="1:24" x14ac:dyDescent="0.25">
      <c r="A137" s="3"/>
      <c r="B137" s="3" t="s">
        <v>145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4">
        <f>X136</f>
        <v>0</v>
      </c>
    </row>
    <row r="138" spans="1:24" x14ac:dyDescent="0.25">
      <c r="A138" s="1"/>
      <c r="B138" s="1" t="s">
        <v>146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2">
        <v>0</v>
      </c>
    </row>
    <row r="139" spans="1:24" x14ac:dyDescent="0.25">
      <c r="A139" s="3"/>
      <c r="B139" s="3" t="s">
        <v>147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4">
        <f>X138</f>
        <v>0</v>
      </c>
    </row>
    <row r="140" spans="1:24" x14ac:dyDescent="0.25">
      <c r="A140" s="1"/>
      <c r="B140" s="1" t="s">
        <v>148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2">
        <v>0</v>
      </c>
    </row>
    <row r="141" spans="1:24" x14ac:dyDescent="0.25">
      <c r="A141" s="3"/>
      <c r="B141" s="3" t="s">
        <v>149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4">
        <f>X140</f>
        <v>0</v>
      </c>
    </row>
    <row r="142" spans="1:24" x14ac:dyDescent="0.25">
      <c r="A142" s="1"/>
      <c r="B142" s="1" t="s">
        <v>150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2">
        <v>1778.9</v>
      </c>
    </row>
    <row r="143" spans="1:24" x14ac:dyDescent="0.25">
      <c r="A143" s="3"/>
      <c r="B143" s="3" t="s">
        <v>151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4">
        <f>X142</f>
        <v>1778.9</v>
      </c>
    </row>
    <row r="144" spans="1:24" x14ac:dyDescent="0.25">
      <c r="A144" s="1"/>
      <c r="B144" s="1" t="s">
        <v>152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2">
        <v>0</v>
      </c>
    </row>
    <row r="145" spans="1:24" x14ac:dyDescent="0.25">
      <c r="A145" s="3"/>
      <c r="B145" s="3" t="s">
        <v>153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4">
        <f>X144</f>
        <v>0</v>
      </c>
    </row>
    <row r="146" spans="1:24" x14ac:dyDescent="0.25">
      <c r="A146" s="1"/>
      <c r="B146" s="1" t="s">
        <v>154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2">
        <v>0</v>
      </c>
    </row>
    <row r="147" spans="1:24" x14ac:dyDescent="0.25">
      <c r="A147" s="1"/>
      <c r="B147" s="1"/>
      <c r="C147" s="1" t="s">
        <v>155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2">
        <v>0</v>
      </c>
    </row>
    <row r="148" spans="1:24" x14ac:dyDescent="0.25">
      <c r="A148" s="3"/>
      <c r="B148" s="3"/>
      <c r="C148" s="3" t="s">
        <v>156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4">
        <f>X147</f>
        <v>0</v>
      </c>
    </row>
    <row r="149" spans="1:24" x14ac:dyDescent="0.25">
      <c r="A149" s="1"/>
      <c r="B149" s="1"/>
      <c r="C149" s="1" t="s">
        <v>157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2">
        <v>0</v>
      </c>
    </row>
    <row r="150" spans="1:24" x14ac:dyDescent="0.25">
      <c r="A150" s="3"/>
      <c r="B150" s="3"/>
      <c r="C150" s="3" t="s">
        <v>158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4">
        <f>X149</f>
        <v>0</v>
      </c>
    </row>
    <row r="151" spans="1:24" x14ac:dyDescent="0.25">
      <c r="A151" s="1"/>
      <c r="B151" s="1"/>
      <c r="C151" s="1" t="s">
        <v>159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2">
        <v>0</v>
      </c>
    </row>
    <row r="152" spans="1:24" ht="15.75" thickBot="1" x14ac:dyDescent="0.3">
      <c r="A152" s="3"/>
      <c r="B152" s="3"/>
      <c r="C152" s="3" t="s">
        <v>160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5"/>
      <c r="U152" s="3"/>
      <c r="V152" s="5"/>
      <c r="W152" s="3"/>
      <c r="X152" s="6">
        <f>X151</f>
        <v>0</v>
      </c>
    </row>
    <row r="153" spans="1:24" x14ac:dyDescent="0.25">
      <c r="A153" s="3"/>
      <c r="B153" s="3" t="s">
        <v>161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4">
        <f>ROUND(X148+X150+X152,5)</f>
        <v>0</v>
      </c>
    </row>
    <row r="154" spans="1:24" x14ac:dyDescent="0.25">
      <c r="A154" s="1"/>
      <c r="B154" s="1" t="s">
        <v>162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2">
        <v>0</v>
      </c>
    </row>
    <row r="155" spans="1:24" x14ac:dyDescent="0.25">
      <c r="A155" s="3"/>
      <c r="B155" s="3" t="s">
        <v>163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4">
        <f>X154</f>
        <v>0</v>
      </c>
    </row>
    <row r="156" spans="1:24" x14ac:dyDescent="0.25">
      <c r="A156" s="1"/>
      <c r="B156" s="1" t="s">
        <v>164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2">
        <v>905.13</v>
      </c>
    </row>
    <row r="157" spans="1:24" x14ac:dyDescent="0.25">
      <c r="A157" s="1"/>
      <c r="B157" s="1"/>
      <c r="C157" s="1" t="s">
        <v>165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>
        <v>0</v>
      </c>
    </row>
    <row r="158" spans="1:24" x14ac:dyDescent="0.25">
      <c r="A158" s="3"/>
      <c r="B158" s="3"/>
      <c r="C158" s="3" t="s">
        <v>166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4">
        <f>X157</f>
        <v>0</v>
      </c>
    </row>
    <row r="159" spans="1:24" x14ac:dyDescent="0.25">
      <c r="A159" s="1"/>
      <c r="B159" s="1"/>
      <c r="C159" s="1" t="s">
        <v>167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2">
        <v>0</v>
      </c>
    </row>
    <row r="160" spans="1:24" x14ac:dyDescent="0.25">
      <c r="A160" s="3"/>
      <c r="B160" s="3"/>
      <c r="C160" s="3" t="s">
        <v>168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4">
        <f>X159</f>
        <v>0</v>
      </c>
    </row>
    <row r="161" spans="1:24" x14ac:dyDescent="0.25">
      <c r="A161" s="1"/>
      <c r="B161" s="1"/>
      <c r="C161" s="1" t="s">
        <v>169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2">
        <v>0</v>
      </c>
    </row>
    <row r="162" spans="1:24" x14ac:dyDescent="0.25">
      <c r="A162" s="3"/>
      <c r="B162" s="3"/>
      <c r="C162" s="3" t="s">
        <v>170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4">
        <f>X161</f>
        <v>0</v>
      </c>
    </row>
    <row r="163" spans="1:24" x14ac:dyDescent="0.25">
      <c r="A163" s="1"/>
      <c r="B163" s="1"/>
      <c r="C163" s="1" t="s">
        <v>171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2">
        <v>0</v>
      </c>
    </row>
    <row r="164" spans="1:24" x14ac:dyDescent="0.25">
      <c r="A164" s="3"/>
      <c r="B164" s="3"/>
      <c r="C164" s="3" t="s">
        <v>172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4">
        <f>X163</f>
        <v>0</v>
      </c>
    </row>
    <row r="165" spans="1:24" x14ac:dyDescent="0.25">
      <c r="A165" s="1"/>
      <c r="B165" s="1"/>
      <c r="C165" s="1" t="s">
        <v>173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2">
        <v>905.13</v>
      </c>
    </row>
    <row r="166" spans="1:24" ht="15.75" thickBot="1" x14ac:dyDescent="0.3">
      <c r="A166" s="3"/>
      <c r="B166" s="3"/>
      <c r="C166" s="3" t="s">
        <v>174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5"/>
      <c r="U166" s="3"/>
      <c r="V166" s="5"/>
      <c r="W166" s="3"/>
      <c r="X166" s="6">
        <f>X165</f>
        <v>905.13</v>
      </c>
    </row>
    <row r="167" spans="1:24" x14ac:dyDescent="0.25">
      <c r="A167" s="3"/>
      <c r="B167" s="3" t="s">
        <v>175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4">
        <f>ROUND(X158+X160+X162+X164+X166,5)</f>
        <v>905.13</v>
      </c>
    </row>
    <row r="168" spans="1:24" x14ac:dyDescent="0.25">
      <c r="A168" s="1"/>
      <c r="B168" s="1" t="s">
        <v>176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">
        <v>1876.73</v>
      </c>
    </row>
    <row r="169" spans="1:24" x14ac:dyDescent="0.25">
      <c r="A169" s="3"/>
      <c r="B169" s="3" t="s">
        <v>177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4">
        <f>X168</f>
        <v>1876.73</v>
      </c>
    </row>
    <row r="170" spans="1:24" x14ac:dyDescent="0.25">
      <c r="A170" s="1"/>
      <c r="B170" s="1" t="s">
        <v>178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2">
        <v>0</v>
      </c>
    </row>
    <row r="171" spans="1:24" x14ac:dyDescent="0.25">
      <c r="A171" s="3"/>
      <c r="B171" s="3" t="s">
        <v>179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4">
        <f>X170</f>
        <v>0</v>
      </c>
    </row>
    <row r="172" spans="1:24" x14ac:dyDescent="0.25">
      <c r="A172" s="1"/>
      <c r="B172" s="1" t="s">
        <v>180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2">
        <v>0</v>
      </c>
    </row>
    <row r="173" spans="1:24" x14ac:dyDescent="0.25">
      <c r="A173" s="3"/>
      <c r="B173" s="3" t="s">
        <v>181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4">
        <f>X172</f>
        <v>0</v>
      </c>
    </row>
    <row r="174" spans="1:24" x14ac:dyDescent="0.25">
      <c r="A174" s="1"/>
      <c r="B174" s="1" t="s">
        <v>182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2">
        <v>-3317.24</v>
      </c>
    </row>
    <row r="175" spans="1:24" x14ac:dyDescent="0.25">
      <c r="A175" s="3"/>
      <c r="B175" s="3" t="s">
        <v>183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4">
        <f>X174</f>
        <v>-3317.24</v>
      </c>
    </row>
    <row r="176" spans="1:24" x14ac:dyDescent="0.25">
      <c r="A176" s="1"/>
      <c r="B176" s="1" t="s">
        <v>184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2">
        <v>0</v>
      </c>
    </row>
    <row r="177" spans="1:24" x14ac:dyDescent="0.25">
      <c r="A177" s="3"/>
      <c r="B177" s="3" t="s">
        <v>185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4">
        <f>X176</f>
        <v>0</v>
      </c>
    </row>
    <row r="178" spans="1:24" x14ac:dyDescent="0.25">
      <c r="A178" s="1"/>
      <c r="B178" s="1" t="s">
        <v>186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2">
        <v>0</v>
      </c>
    </row>
    <row r="179" spans="1:24" x14ac:dyDescent="0.25">
      <c r="A179" s="3"/>
      <c r="B179" s="3" t="s">
        <v>187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4">
        <f>X178</f>
        <v>0</v>
      </c>
    </row>
    <row r="180" spans="1:24" x14ac:dyDescent="0.25">
      <c r="A180" s="1"/>
      <c r="B180" s="1" t="s">
        <v>188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2">
        <v>0</v>
      </c>
    </row>
    <row r="181" spans="1:24" x14ac:dyDescent="0.25">
      <c r="A181" s="3"/>
      <c r="B181" s="3" t="s">
        <v>189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4">
        <f>X180</f>
        <v>0</v>
      </c>
    </row>
    <row r="182" spans="1:24" x14ac:dyDescent="0.25">
      <c r="A182" s="1"/>
      <c r="B182" s="1" t="s">
        <v>190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2">
        <v>0</v>
      </c>
    </row>
    <row r="183" spans="1:24" x14ac:dyDescent="0.25">
      <c r="A183" s="3"/>
      <c r="B183" s="3" t="s">
        <v>191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4">
        <f>X182</f>
        <v>0</v>
      </c>
    </row>
    <row r="184" spans="1:24" x14ac:dyDescent="0.25">
      <c r="A184" s="1"/>
      <c r="B184" s="1" t="s">
        <v>192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2">
        <v>0</v>
      </c>
    </row>
    <row r="185" spans="1:24" ht="15.75" thickBot="1" x14ac:dyDescent="0.3">
      <c r="A185" s="3"/>
      <c r="B185" s="3" t="s">
        <v>193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7"/>
      <c r="U185" s="3"/>
      <c r="V185" s="7"/>
      <c r="W185" s="3"/>
      <c r="X185" s="8">
        <f>X184</f>
        <v>0</v>
      </c>
    </row>
    <row r="186" spans="1:24" s="11" customFormat="1" ht="12" thickBot="1" x14ac:dyDescent="0.25">
      <c r="A186" s="1" t="s">
        <v>194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9"/>
      <c r="U186" s="1"/>
      <c r="V186" s="9"/>
      <c r="W186" s="1"/>
      <c r="X186" s="10">
        <f>ROUND(X3+X5+X7+X9+X11+X13+X15+X17+X19+X21+X23+X25+X27+X29+X31+X33+X35+X37+X39+X41+X43+X45+X47+X55+X61+X63+X65+X67+X69+X71+X73+X75+X93+X95+X97+X99+X101+X103+X105+X107+X109+X111+X117+X119+X121+X123+X125+X135+X137+X139+X141+X143+X145+X153+X155+X167+X169+X171+X173+X175+X177+X179+X181+X183+X185,5)</f>
        <v>0</v>
      </c>
    </row>
    <row r="187" spans="1:24" ht="15.75" thickTop="1" x14ac:dyDescent="0.25"/>
  </sheetData>
  <pageMargins left="0.7" right="0.7" top="0.75" bottom="0.75" header="0.1" footer="0.3"/>
  <pageSetup orientation="portrait" verticalDpi="0" r:id="rId1"/>
  <headerFooter>
    <oddHeader>&amp;L&amp;"Arial,Bold"&amp;8 2:04 PM
&amp;"Arial,Bold"&amp;8 04/15/26
&amp;"Arial,Bold"&amp;8 Accrual Basis&amp;C&amp;"Arial,Bold"&amp;12 Yen Dan USA LLC
&amp;"Arial,Bold"&amp;14 General Ledger
&amp;"Arial,Bold"&amp;10 As of March 31, 2026</oddHeader>
    <oddFooter>&amp;R&amp;"Arial,Bold"&amp;8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F0396FBBC9B4494DB247DF4267C48" ma:contentTypeVersion="3" ma:contentTypeDescription="Create a new document." ma:contentTypeScope="" ma:versionID="4765852c5531c0595f118a794dad5166">
  <xsd:schema xmlns:xsd="http://www.w3.org/2001/XMLSchema" xmlns:xs="http://www.w3.org/2001/XMLSchema" xmlns:p="http://schemas.microsoft.com/office/2006/metadata/properties" xmlns:ns2="6c4331ef-10cd-4591-affc-8b6217c7b430" targetNamespace="http://schemas.microsoft.com/office/2006/metadata/properties" ma:root="true" ma:fieldsID="ccfbcbfdf7f33866b68cf9f171246d7e" ns2:_="">
    <xsd:import namespace="6c4331ef-10cd-4591-affc-8b6217c7b4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331ef-10cd-4591-affc-8b6217c7b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17533C-A29A-447B-97BF-26A03A2469BF}"/>
</file>

<file path=customXml/itemProps2.xml><?xml version="1.0" encoding="utf-8"?>
<ds:datastoreItem xmlns:ds="http://schemas.openxmlformats.org/officeDocument/2006/customXml" ds:itemID="{B8F74220-2195-4702-889E-70EAB898756D}"/>
</file>

<file path=customXml/itemProps3.xml><?xml version="1.0" encoding="utf-8"?>
<ds:datastoreItem xmlns:ds="http://schemas.openxmlformats.org/officeDocument/2006/customXml" ds:itemID="{F2E80AD9-B2AF-4D77-9071-8BFEED2F29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Cariquitan</dc:creator>
  <cp:lastModifiedBy>Justine Cariquitan</cp:lastModifiedBy>
  <dcterms:created xsi:type="dcterms:W3CDTF">2026-04-15T21:04:57Z</dcterms:created>
  <dcterms:modified xsi:type="dcterms:W3CDTF">2026-04-15T21:06:00Z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0x0101000E5F0396FBBC9B4494DB247DF4267C48</vt:lpwstr>
  </property>
</Properties>
</file>
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accudataco.sharepoint.com/sites/PhilippinesTeam/Shared Documents/Clients Files/LT BEAUTY LLC/"/>
    </mc:Choice>
  </mc:AlternateContent>
  <xr:revisionPtr revIDLastSave="0" documentId="8_{76179A19-F247-4E7A-A913-3C3B0984DF92}" xr6:coauthVersionLast="47" xr6:coauthVersionMax="47" xr10:uidLastSave="{00000000-0000-0000-0000-000000000000}"/>
  <bookViews>
    <workbookView xWindow="-120" yWindow="-120" windowWidth="20730" windowHeight="11160" activeTab="1" xr2:uid="{8D65E48D-AE20-48AC-9F39-377BFA70CAA3}"/>
  </bookViews>
  <sheets>
    <sheet name="QuickBooks Desktop Export Tips" sheetId="2" r:id="rId1"/>
    <sheet name="Sheet1" sheetId="1" r:id="rId2"/>
  </sheets>
  <definedNames>
    <definedName name="LOCAL_MYSQL_DATE_FORMAT" hidden="1">REPT(LOCAL_YEAR_FORMAT,4)&amp;LOCAL_DATE_SEPARATOR&amp;REPT(LOCAL_MONTH_FORMAT,2)&amp;LOCAL_DATE_SEPARATOR&amp;REPT(LOCAL_DAY_FORMAT,2)&amp;" "&amp;REPT(LOCAL_HOUR_FORMAT,2)&amp;LOCAL_TIME_SEPARATOR&amp;REPT(LOCAL_MINUTE_FORMAT,2)&amp;LOCAL_TIME_SEPARATOR&amp;REPT(LOCAL_SECOND_FORMAT,2)</definedName>
    <definedName name="_xlnm.Print_Titles" localSheetId="1">Sheet1!$A:$F,Sheet1!$1:$2</definedName>
    <definedName name="QB_COLUMN_59200" localSheetId="1" hidden="1">Sheet1!$G$2</definedName>
    <definedName name="QB_COLUMN_61210" localSheetId="1" hidden="1">Sheet1!$I$2</definedName>
    <definedName name="QB_COLUMN_63620" localSheetId="1" hidden="1">Sheet1!$K$2</definedName>
    <definedName name="QB_DATA_0" localSheetId="1" hidden="1">Sheet1!$5:$5,Sheet1!$6:$6,Sheet1!$9:$9,Sheet1!$10:$10,Sheet1!$11:$11,Sheet1!$12:$12,Sheet1!$16:$16,Sheet1!$17:$17,Sheet1!$18:$18,Sheet1!$19:$19,Sheet1!$20:$20,Sheet1!$21:$21,Sheet1!$22:$22,Sheet1!$23:$23,Sheet1!$24:$24,Sheet1!$25:$25</definedName>
    <definedName name="QB_DATA_1" localSheetId="1" hidden="1">Sheet1!$26:$26,Sheet1!$27:$27,Sheet1!$28:$28,Sheet1!$30:$30,Sheet1!$31:$31,Sheet1!$32:$32,Sheet1!$33:$33,Sheet1!$35:$35,Sheet1!$36:$36,Sheet1!$37:$37,Sheet1!$38:$38,Sheet1!$39:$39,Sheet1!$40:$40,Sheet1!$42:$42,Sheet1!$43:$43,Sheet1!$45:$45</definedName>
    <definedName name="QB_DATA_2" localSheetId="1" hidden="1">Sheet1!$46:$46,Sheet1!$48:$48,Sheet1!$49:$49,Sheet1!$50:$50,Sheet1!$51:$51,Sheet1!$54:$54,Sheet1!$55:$55,Sheet1!$57:$57,Sheet1!$58:$58,Sheet1!$59:$59,Sheet1!$60:$60,Sheet1!$62:$62,Sheet1!$63:$63,Sheet1!$65:$65,Sheet1!$67:$67,Sheet1!$68:$68</definedName>
    <definedName name="QB_DATA_3" localSheetId="1" hidden="1">Sheet1!$71:$71,Sheet1!$72:$72,Sheet1!$73:$73,Sheet1!$79:$79</definedName>
    <definedName name="QB_FORMULA_0" localSheetId="1" hidden="1">Sheet1!$K$5,Sheet1!$K$6,Sheet1!$G$7,Sheet1!$I$7,Sheet1!$K$7,Sheet1!$K$9,Sheet1!$K$10,Sheet1!$K$11,Sheet1!$K$12,Sheet1!$G$13,Sheet1!$I$13,Sheet1!$K$13,Sheet1!$G$14,Sheet1!$I$14,Sheet1!$K$14,Sheet1!$K$16</definedName>
    <definedName name="QB_FORMULA_1" localSheetId="1" hidden="1">Sheet1!$K$17,Sheet1!$K$18,Sheet1!$K$19,Sheet1!$K$20,Sheet1!$K$21,Sheet1!$K$22,Sheet1!$K$23,Sheet1!$K$24,Sheet1!$K$25,Sheet1!$K$26,Sheet1!$K$27,Sheet1!$K$28,Sheet1!$K$30,Sheet1!$K$31,Sheet1!$K$32,Sheet1!$K$33</definedName>
    <definedName name="QB_FORMULA_2" localSheetId="1" hidden="1">Sheet1!$G$34,Sheet1!$I$34,Sheet1!$K$34,Sheet1!$K$35,Sheet1!$K$36,Sheet1!$K$37,Sheet1!$K$38,Sheet1!$K$39,Sheet1!$K$40,Sheet1!$K$42,Sheet1!$K$43,Sheet1!$G$44,Sheet1!$I$44,Sheet1!$K$44,Sheet1!$K$45,Sheet1!$K$46</definedName>
    <definedName name="QB_FORMULA_3" localSheetId="1" hidden="1">Sheet1!$K$48,Sheet1!$K$49,Sheet1!$K$50,Sheet1!$K$51,Sheet1!$G$52,Sheet1!$I$52,Sheet1!$K$52,Sheet1!$K$54,Sheet1!$K$55,Sheet1!$G$56,Sheet1!$I$56,Sheet1!$K$56,Sheet1!$K$57,Sheet1!$K$58,Sheet1!$K$59,Sheet1!$K$60</definedName>
    <definedName name="QB_FORMULA_4" localSheetId="1" hidden="1">Sheet1!$K$62,Sheet1!$K$63,Sheet1!$G$64,Sheet1!$I$64,Sheet1!$K$64,Sheet1!$K$65,Sheet1!$K$67,Sheet1!$K$68,Sheet1!$G$69,Sheet1!$I$69,Sheet1!$K$69,Sheet1!$K$71,Sheet1!$K$72,Sheet1!$K$73,Sheet1!$G$74,Sheet1!$I$74</definedName>
    <definedName name="QB_FORMULA_5" localSheetId="1" hidden="1">Sheet1!$K$74,Sheet1!$G$75,Sheet1!$I$75,Sheet1!$K$75,Sheet1!$G$76,Sheet1!$I$76,Sheet1!$K$76,Sheet1!$K$79,Sheet1!$G$80,Sheet1!$I$80,Sheet1!$K$80,Sheet1!$G$81,Sheet1!$I$81,Sheet1!$K$81,Sheet1!$G$82,Sheet1!$I$82</definedName>
    <definedName name="QB_FORMULA_6" localSheetId="1" hidden="1">Sheet1!$K$82</definedName>
    <definedName name="QB_ROW_11240" localSheetId="1" hidden="1">Sheet1!$E$28</definedName>
    <definedName name="QB_ROW_118240" localSheetId="1" hidden="1">Sheet1!$E$22</definedName>
    <definedName name="QB_ROW_121240" localSheetId="1" hidden="1">Sheet1!$E$21</definedName>
    <definedName name="QB_ROW_12240" localSheetId="1" hidden="1">Sheet1!$E$35</definedName>
    <definedName name="QB_ROW_132240" localSheetId="1" hidden="1">Sheet1!$E$20</definedName>
    <definedName name="QB_ROW_13240" localSheetId="1" hidden="1">Sheet1!$E$36</definedName>
    <definedName name="QB_ROW_133240" localSheetId="1" hidden="1">Sheet1!$E$19</definedName>
    <definedName name="QB_ROW_134240" localSheetId="1" hidden="1">Sheet1!$E$18</definedName>
    <definedName name="QB_ROW_135240" localSheetId="1" hidden="1">Sheet1!$E$17</definedName>
    <definedName name="QB_ROW_136240" localSheetId="1" hidden="1">Sheet1!$E$16</definedName>
    <definedName name="QB_ROW_14240" localSheetId="1" hidden="1">Sheet1!$E$37</definedName>
    <definedName name="QB_ROW_17240" localSheetId="1" hidden="1">Sheet1!$E$38</definedName>
    <definedName name="QB_ROW_18240" localSheetId="1" hidden="1">Sheet1!$E$40</definedName>
    <definedName name="QB_ROW_18301" localSheetId="1" hidden="1">Sheet1!$A$82</definedName>
    <definedName name="QB_ROW_19011" localSheetId="1" hidden="1">Sheet1!$B$3</definedName>
    <definedName name="QB_ROW_19040" localSheetId="1" hidden="1">Sheet1!$E$41</definedName>
    <definedName name="QB_ROW_19311" localSheetId="1" hidden="1">Sheet1!$B$76</definedName>
    <definedName name="QB_ROW_19340" localSheetId="1" hidden="1">Sheet1!$E$44</definedName>
    <definedName name="QB_ROW_20031" localSheetId="1" hidden="1">Sheet1!$D$4</definedName>
    <definedName name="QB_ROW_20240" localSheetId="1" hidden="1">Sheet1!$E$45</definedName>
    <definedName name="QB_ROW_20331" localSheetId="1" hidden="1">Sheet1!$D$7</definedName>
    <definedName name="QB_ROW_21031" localSheetId="1" hidden="1">Sheet1!$D$15</definedName>
    <definedName name="QB_ROW_21240" localSheetId="1" hidden="1">Sheet1!$E$46</definedName>
    <definedName name="QB_ROW_21331" localSheetId="1" hidden="1">Sheet1!$D$75</definedName>
    <definedName name="QB_ROW_22011" localSheetId="1" hidden="1">Sheet1!$B$77</definedName>
    <definedName name="QB_ROW_22240" localSheetId="1" hidden="1">Sheet1!$E$57</definedName>
    <definedName name="QB_ROW_22311" localSheetId="1" hidden="1">Sheet1!$B$81</definedName>
    <definedName name="QB_ROW_23021" localSheetId="1" hidden="1">Sheet1!$C$78</definedName>
    <definedName name="QB_ROW_23240" localSheetId="1" hidden="1">Sheet1!$E$58</definedName>
    <definedName name="QB_ROW_23321" localSheetId="1" hidden="1">Sheet1!$C$80</definedName>
    <definedName name="QB_ROW_24240" localSheetId="1" hidden="1">Sheet1!$E$59</definedName>
    <definedName name="QB_ROW_25240" localSheetId="1" hidden="1">Sheet1!$E$60</definedName>
    <definedName name="QB_ROW_26240" localSheetId="1" hidden="1">Sheet1!$E$65</definedName>
    <definedName name="QB_ROW_27040" localSheetId="1" hidden="1">Sheet1!$E$66</definedName>
    <definedName name="QB_ROW_27250" localSheetId="1" hidden="1">Sheet1!$F$68</definedName>
    <definedName name="QB_ROW_27340" localSheetId="1" hidden="1">Sheet1!$E$69</definedName>
    <definedName name="QB_ROW_28040" localSheetId="1" hidden="1">Sheet1!$E$70</definedName>
    <definedName name="QB_ROW_28250" localSheetId="1" hidden="1">Sheet1!$F$73</definedName>
    <definedName name="QB_ROW_28340" localSheetId="1" hidden="1">Sheet1!$E$74</definedName>
    <definedName name="QB_ROW_33040" localSheetId="1" hidden="1">Sheet1!$E$47</definedName>
    <definedName name="QB_ROW_33250" localSheetId="1" hidden="1">Sheet1!$F$51</definedName>
    <definedName name="QB_ROW_33340" localSheetId="1" hidden="1">Sheet1!$E$52</definedName>
    <definedName name="QB_ROW_37240" localSheetId="1" hidden="1">Sheet1!$E$39</definedName>
    <definedName name="QB_ROW_41040" localSheetId="1" hidden="1">Sheet1!$E$29</definedName>
    <definedName name="QB_ROW_41250" localSheetId="1" hidden="1">Sheet1!$F$33</definedName>
    <definedName name="QB_ROW_41340" localSheetId="1" hidden="1">Sheet1!$E$34</definedName>
    <definedName name="QB_ROW_42250" localSheetId="1" hidden="1">Sheet1!$F$31</definedName>
    <definedName name="QB_ROW_43240" localSheetId="1" hidden="1">Sheet1!$E$12</definedName>
    <definedName name="QB_ROW_44040" localSheetId="1" hidden="1">Sheet1!$E$53</definedName>
    <definedName name="QB_ROW_44250" localSheetId="1" hidden="1">Sheet1!$F$55</definedName>
    <definedName name="QB_ROW_44340" localSheetId="1" hidden="1">Sheet1!$E$56</definedName>
    <definedName name="QB_ROW_45250" localSheetId="1" hidden="1">Sheet1!$F$54</definedName>
    <definedName name="QB_ROW_48250" localSheetId="1" hidden="1">Sheet1!$F$50</definedName>
    <definedName name="QB_ROW_49040" localSheetId="1" hidden="1">Sheet1!$E$61</definedName>
    <definedName name="QB_ROW_49250" localSheetId="1" hidden="1">Sheet1!$F$63</definedName>
    <definedName name="QB_ROW_49340" localSheetId="1" hidden="1">Sheet1!$E$64</definedName>
    <definedName name="QB_ROW_50250" localSheetId="1" hidden="1">Sheet1!$F$62</definedName>
    <definedName name="QB_ROW_51250" localSheetId="1" hidden="1">Sheet1!$F$67</definedName>
    <definedName name="QB_ROW_52250" localSheetId="1" hidden="1">Sheet1!$F$48</definedName>
    <definedName name="QB_ROW_55250" localSheetId="1" hidden="1">Sheet1!$F$72</definedName>
    <definedName name="QB_ROW_56250" localSheetId="1" hidden="1">Sheet1!$F$49</definedName>
    <definedName name="QB_ROW_57240" localSheetId="1" hidden="1">Sheet1!$E$11</definedName>
    <definedName name="QB_ROW_58250" localSheetId="1" hidden="1">Sheet1!$F$32</definedName>
    <definedName name="QB_ROW_59250" localSheetId="1" hidden="1">Sheet1!$F$71</definedName>
    <definedName name="QB_ROW_63240" localSheetId="1" hidden="1">Sheet1!$E$5</definedName>
    <definedName name="QB_ROW_66250" localSheetId="1" hidden="1">Sheet1!$F$30</definedName>
    <definedName name="QB_ROW_69240" localSheetId="1" hidden="1">Sheet1!$E$10</definedName>
    <definedName name="QB_ROW_80250" localSheetId="1" hidden="1">Sheet1!$F$43</definedName>
    <definedName name="QB_ROW_82250" localSheetId="1" hidden="1">Sheet1!$F$42</definedName>
    <definedName name="QB_ROW_8240" localSheetId="1" hidden="1">Sheet1!$E$6</definedName>
    <definedName name="QB_ROW_85230" localSheetId="1" hidden="1">Sheet1!$D$79</definedName>
    <definedName name="QB_ROW_86321" localSheetId="1" hidden="1">Sheet1!$C$14</definedName>
    <definedName name="QB_ROW_87031" localSheetId="1" hidden="1">Sheet1!$D$8</definedName>
    <definedName name="QB_ROW_87331" localSheetId="1" hidden="1">Sheet1!$D$13</definedName>
    <definedName name="QB_ROW_90240" localSheetId="1" hidden="1">Sheet1!$E$27</definedName>
    <definedName name="QB_ROW_92240" localSheetId="1" hidden="1">Sheet1!$E$26</definedName>
    <definedName name="QB_ROW_9240" localSheetId="1" hidden="1">Sheet1!$E$9</definedName>
    <definedName name="QB_ROW_94240" localSheetId="1" hidden="1">Sheet1!$E$25</definedName>
    <definedName name="QB_ROW_97240" localSheetId="1" hidden="1">Sheet1!$E$24</definedName>
    <definedName name="QB_ROW_99240" localSheetId="1" hidden="1">Sheet1!$E$23</definedName>
    <definedName name="QBCANSUPPORTUPDATE" localSheetId="1">TRUE</definedName>
    <definedName name="QBCOMPANYFILENAME" localSheetId="1">"F:\QuickBooks\LT BEAUTY LLC.qbw"</definedName>
    <definedName name="QBENDDATE" localSheetId="1">20251231</definedName>
    <definedName name="QBHEADERSONSCREEN" localSheetId="1">FALSE</definedName>
    <definedName name="QBMETADATASIZE" localSheetId="1">5964</definedName>
    <definedName name="QBPRESERVECOLOR" localSheetId="1">TRUE</definedName>
    <definedName name="QBPRESERVEFONT" localSheetId="1">TRUE</definedName>
    <definedName name="QBPRESERVEROWHEIGHT" localSheetId="1">TRUE</definedName>
    <definedName name="QBPRESERVESPACE" localSheetId="1">TRUE</definedName>
    <definedName name="QBREPORTCOLAXIS" localSheetId="1">0</definedName>
    <definedName name="QBREPORTCOMPANYID" localSheetId="1">"af6417262373453899a8bb8d80d95d64"</definedName>
    <definedName name="QBREPORTCOMPARECOL_ANNUALBUDGET" localSheetId="1">FALSE</definedName>
    <definedName name="QBREPORTCOMPARECOL_AVGCOGS" localSheetId="1">FALSE</definedName>
    <definedName name="QBREPORTCOMPARECOL_AVGPRICE" localSheetId="1">FALSE</definedName>
    <definedName name="QBREPORTCOMPARECOL_BUDDIFF" localSheetId="1">FALSE</definedName>
    <definedName name="QBREPORTCOMPARECOL_BUDGET" localSheetId="1">FALSE</definedName>
    <definedName name="QBREPORTCOMPARECOL_BUDPCT" localSheetId="1">FALSE</definedName>
    <definedName name="QBREPORTCOMPARECOL_COGS" localSheetId="1">FALSE</definedName>
    <definedName name="QBREPORTCOMPARECOL_EXCLUDEAMOUNT" localSheetId="1">FALSE</definedName>
    <definedName name="QBREPORTCOMPARECOL_EXCLUDECURPERIOD" localSheetId="1">FALSE</definedName>
    <definedName name="QBREPORTCOMPARECOL_FORECAST" localSheetId="1">FALSE</definedName>
    <definedName name="QBREPORTCOMPARECOL_GROSSMARGIN" localSheetId="1">FALSE</definedName>
    <definedName name="QBREPORTCOMPARECOL_GROSSMARGINPCT" localSheetId="1">FALSE</definedName>
    <definedName name="QBREPORTCOMPARECOL_HOURS" localSheetId="1">FALSE</definedName>
    <definedName name="QBREPORTCOMPARECOL_PCTCOL" localSheetId="1">FALSE</definedName>
    <definedName name="QBREPORTCOMPARECOL_PCTEXPENSE" localSheetId="1">FALSE</definedName>
    <definedName name="QBREPORTCOMPARECOL_PCTINCOME" localSheetId="1">FALSE</definedName>
    <definedName name="QBREPORTCOMPARECOL_PCTOFSALES" localSheetId="1">FALSE</definedName>
    <definedName name="QBREPORTCOMPARECOL_PCTROW" localSheetId="1">FALSE</definedName>
    <definedName name="QBREPORTCOMPARECOL_PPDIFF" localSheetId="1">FALSE</definedName>
    <definedName name="QBREPORTCOMPARECOL_PPPCT" localSheetId="1">FALSE</definedName>
    <definedName name="QBREPORTCOMPARECOL_PREVPERIOD" localSheetId="1">FALSE</definedName>
    <definedName name="QBREPORTCOMPARECOL_PREVYEAR" localSheetId="1">TRUE</definedName>
    <definedName name="QBREPORTCOMPARECOL_PYDIFF" localSheetId="1">TRUE</definedName>
    <definedName name="QBREPORTCOMPARECOL_PYPCT" localSheetId="1">FALSE</definedName>
    <definedName name="QBREPORTCOMPARECOL_QTY" localSheetId="1">FALSE</definedName>
    <definedName name="QBREPORTCOMPARECOL_RATE" localSheetId="1">FALSE</definedName>
    <definedName name="QBREPORTCOMPARECOL_TRIPBILLEDMILES" localSheetId="1">FALSE</definedName>
    <definedName name="QBREPORTCOMPARECOL_TRIPBILLINGAMOUNT" localSheetId="1">FALSE</definedName>
    <definedName name="QBREPORTCOMPARECOL_TRIPMILES" localSheetId="1">FALSE</definedName>
    <definedName name="QBREPORTCOMPARECOL_TRIPNOTBILLABLEMILES" localSheetId="1">FALSE</definedName>
    <definedName name="QBREPORTCOMPARECOL_TRIPTAXDEDUCTIBLEAMOUNT" localSheetId="1">FALSE</definedName>
    <definedName name="QBREPORTCOMPARECOL_TRIPUNBILLEDMILES" localSheetId="1">FALSE</definedName>
    <definedName name="QBREPORTCOMPARECOL_YTD" localSheetId="1">FALSE</definedName>
    <definedName name="QBREPORTCOMPARECOL_YTDBUDGET" localSheetId="1">FALSE</definedName>
    <definedName name="QBREPORTCOMPARECOL_YTDPCT" localSheetId="1">FALSE</definedName>
    <definedName name="QBREPORTROWAXIS" localSheetId="1">11</definedName>
    <definedName name="QBREPORTSUBCOLAXIS" localSheetId="1">24</definedName>
    <definedName name="QBREPORTTYPE" localSheetId="1">0</definedName>
    <definedName name="QBROWHEADERS" localSheetId="1">6</definedName>
    <definedName name="QBSTARTDATE" localSheetId="1">20250101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82" i="1" l="1"/>
  <c r="I82" i="1"/>
  <c r="G82" i="1"/>
  <c r="K81" i="1"/>
  <c r="I81" i="1"/>
  <c r="G81" i="1"/>
  <c r="K80" i="1"/>
  <c r="I80" i="1"/>
  <c r="G80" i="1"/>
  <c r="K79" i="1"/>
  <c r="K76" i="1"/>
  <c r="I76" i="1"/>
  <c r="G76" i="1"/>
  <c r="K75" i="1"/>
  <c r="I75" i="1"/>
  <c r="G75" i="1"/>
  <c r="K74" i="1"/>
  <c r="I74" i="1"/>
  <c r="G74" i="1"/>
  <c r="K73" i="1"/>
  <c r="K72" i="1"/>
  <c r="K71" i="1"/>
  <c r="K69" i="1"/>
  <c r="I69" i="1"/>
  <c r="G69" i="1"/>
  <c r="K68" i="1"/>
  <c r="K67" i="1"/>
  <c r="K65" i="1"/>
  <c r="K64" i="1"/>
  <c r="I64" i="1"/>
  <c r="G64" i="1"/>
  <c r="K63" i="1"/>
  <c r="K62" i="1"/>
  <c r="K60" i="1"/>
  <c r="K59" i="1"/>
  <c r="K58" i="1"/>
  <c r="K57" i="1"/>
  <c r="K56" i="1"/>
  <c r="I56" i="1"/>
  <c r="G56" i="1"/>
  <c r="K55" i="1"/>
  <c r="K54" i="1"/>
  <c r="K52" i="1"/>
  <c r="I52" i="1"/>
  <c r="G52" i="1"/>
  <c r="K51" i="1"/>
  <c r="K50" i="1"/>
  <c r="K49" i="1"/>
  <c r="K48" i="1"/>
  <c r="K46" i="1"/>
  <c r="K45" i="1"/>
  <c r="K44" i="1"/>
  <c r="I44" i="1"/>
  <c r="G44" i="1"/>
  <c r="K43" i="1"/>
  <c r="K42" i="1"/>
  <c r="K40" i="1"/>
  <c r="K39" i="1"/>
  <c r="K38" i="1"/>
  <c r="K37" i="1"/>
  <c r="K36" i="1"/>
  <c r="K35" i="1"/>
  <c r="K34" i="1"/>
  <c r="I34" i="1"/>
  <c r="G34" i="1"/>
  <c r="K33" i="1"/>
  <c r="K32" i="1"/>
  <c r="K31" i="1"/>
  <c r="K30" i="1"/>
  <c r="K28" i="1"/>
  <c r="K27" i="1"/>
  <c r="K26" i="1"/>
  <c r="K25" i="1"/>
  <c r="K24" i="1"/>
  <c r="K23" i="1"/>
  <c r="K22" i="1"/>
  <c r="K21" i="1"/>
  <c r="K20" i="1"/>
  <c r="K19" i="1"/>
  <c r="K18" i="1"/>
  <c r="K17" i="1"/>
  <c r="K16" i="1"/>
  <c r="K14" i="1"/>
  <c r="I14" i="1"/>
  <c r="G14" i="1"/>
  <c r="K13" i="1"/>
  <c r="I13" i="1"/>
  <c r="G13" i="1"/>
  <c r="K12" i="1"/>
  <c r="K11" i="1"/>
  <c r="K10" i="1"/>
  <c r="K9" i="1"/>
  <c r="K7" i="1"/>
  <c r="I7" i="1"/>
  <c r="G7" i="1"/>
  <c r="K6" i="1"/>
  <c r="K5" i="1"/>
</calcChain>
</file>

<file path=xl/sharedStrings.xml><?xml version="1.0" encoding="utf-8"?>
<sst xmlns="http://schemas.openxmlformats.org/spreadsheetml/2006/main" count="83" uniqueCount="83">
  <si>
    <t>Jan - Dec 25</t>
  </si>
  <si>
    <t>Jan - Dec 24</t>
  </si>
  <si>
    <t>$ Change</t>
  </si>
  <si>
    <t>Ordinary Income/Expense</t>
  </si>
  <si>
    <t>Income</t>
  </si>
  <si>
    <t>Cash Sales</t>
  </si>
  <si>
    <t>Services Income</t>
  </si>
  <si>
    <t>Total Income</t>
  </si>
  <si>
    <t>Cost of Goods Sold</t>
  </si>
  <si>
    <t>Merchant Account Fees</t>
  </si>
  <si>
    <t>COGS - Other</t>
  </si>
  <si>
    <t>COGS - Contract Labor</t>
  </si>
  <si>
    <t>COGS - Supplies</t>
  </si>
  <si>
    <t>Total COGS</t>
  </si>
  <si>
    <t>Gross Profit</t>
  </si>
  <si>
    <t>Expense</t>
  </si>
  <si>
    <t>uniform</t>
  </si>
  <si>
    <t>utility</t>
  </si>
  <si>
    <t>nails supply</t>
  </si>
  <si>
    <t>mattress</t>
  </si>
  <si>
    <t>pet</t>
  </si>
  <si>
    <t>CVS Pharmacy</t>
  </si>
  <si>
    <t>Staples</t>
  </si>
  <si>
    <t>Medical Expense</t>
  </si>
  <si>
    <t>service  charge</t>
  </si>
  <si>
    <t>bank ajustment</t>
  </si>
  <si>
    <t>Board of cosmetic</t>
  </si>
  <si>
    <t>PAYMENT</t>
  </si>
  <si>
    <t>Advertising and Promotion</t>
  </si>
  <si>
    <t>Automobile Expense</t>
  </si>
  <si>
    <t>Auto - Car Payment</t>
  </si>
  <si>
    <t>Auto - Fuel</t>
  </si>
  <si>
    <t>Auto - Insurance</t>
  </si>
  <si>
    <t>Automobile Expense - Other</t>
  </si>
  <si>
    <t>Total Automobile Expense</t>
  </si>
  <si>
    <t>Bank Service Charges</t>
  </si>
  <si>
    <t>Business Licenses and Permits</t>
  </si>
  <si>
    <t>Computer and Internet Expenses</t>
  </si>
  <si>
    <t>Dues and Subscriptions</t>
  </si>
  <si>
    <t>Grocery Purchase</t>
  </si>
  <si>
    <t>Insurance Expense</t>
  </si>
  <si>
    <t>Interest Expense</t>
  </si>
  <si>
    <t>Lexus</t>
  </si>
  <si>
    <t>Toyota</t>
  </si>
  <si>
    <t>Total Interest Expense</t>
  </si>
  <si>
    <t>Meals and Entertainment</t>
  </si>
  <si>
    <t>Office Supplies</t>
  </si>
  <si>
    <t>Payroll Expenses</t>
  </si>
  <si>
    <t>Contractor</t>
  </si>
  <si>
    <t>Officer</t>
  </si>
  <si>
    <t>Staff</t>
  </si>
  <si>
    <t>Payroll Expenses - Other</t>
  </si>
  <si>
    <t>Total Payroll Expenses</t>
  </si>
  <si>
    <t>Postage and Delivery</t>
  </si>
  <si>
    <t>Shipping Exp.</t>
  </si>
  <si>
    <t>Postage and Delivery - Other</t>
  </si>
  <si>
    <t>Total Postage and Delivery</t>
  </si>
  <si>
    <t>Professional Fees</t>
  </si>
  <si>
    <t>Rent Expense</t>
  </si>
  <si>
    <t>Repairs and Maintenance</t>
  </si>
  <si>
    <t>Salon Supplies, Linens, Laundry</t>
  </si>
  <si>
    <t>Taxes</t>
  </si>
  <si>
    <t>Payroll</t>
  </si>
  <si>
    <t>Taxes - Other</t>
  </si>
  <si>
    <t>Total Taxes</t>
  </si>
  <si>
    <t>Telephone Expense</t>
  </si>
  <si>
    <t>Travel Expense</t>
  </si>
  <si>
    <t>Transportation</t>
  </si>
  <si>
    <t>Travel Expense - Other</t>
  </si>
  <si>
    <t>Total Travel Expense</t>
  </si>
  <si>
    <t>Utilities</t>
  </si>
  <si>
    <t>Gas</t>
  </si>
  <si>
    <t>Water</t>
  </si>
  <si>
    <t>Utilities - Other</t>
  </si>
  <si>
    <t>Total Utilities</t>
  </si>
  <si>
    <t>Total Expense</t>
  </si>
  <si>
    <t>Net Ordinary Income</t>
  </si>
  <si>
    <t>Other Income/Expense</t>
  </si>
  <si>
    <t>Other Income</t>
  </si>
  <si>
    <t>Credit</t>
  </si>
  <si>
    <t>Total Other Income</t>
  </si>
  <si>
    <t>Net Other Income</t>
  </si>
  <si>
    <t>Net Income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</si>
</sst>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color theme="1"/>
      <name val="Aptos Narrow"/>
      <family val="2"/>
      <scheme val="minor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sz val="10"/>
      <name val="Arial"/>
    </font>
    <font>
      <sz val="11"/>
      <color rgb="FF000000"/>
      <name val="Calibri"/>
      <family val="2"/>
    </font>
    <font>
      <sz val="11"/>
      <color rgb="FF333333"/>
      <name val="Tahoma"/>
      <family val="2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/>
      <right/>
      <top/>
      <bottom style="thick">
        <color indexed="64"/>
      </bottom>
      <diagonal/>
    </border>
    <border>
      <left/>
      <right/>
      <top style="thick">
        <color indexed="64"/>
      </top>
      <bottom style="thick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 style="medium">
        <color indexed="64"/>
      </top>
      <bottom style="double">
        <color indexed="64"/>
      </bottom>
      <diagonal/>
    </border>
  </borders>
  <cellStyleXfs count="2">
    <xf numFmtId="0" fontId="0" fillId="0" borderId="0"/>
    <xf numFmtId="0" fontId="3" fillId="0" borderId="0"/>
  </cellStyleXfs>
  <cellXfs count="20">
    <xf numFmtId="0" fontId="0" fillId="0" borderId="0" xfId="0"/>
    <xf numFmtId="49" fontId="1" fillId="0" borderId="0" xfId="0" applyNumberFormat="1" applyFont="1"/>
    <xf numFmtId="49" fontId="0" fillId="0" borderId="1" xfId="0" applyNumberFormat="1" applyBorder="1" applyAlignment="1">
      <alignment horizontal="centerContinuous"/>
    </xf>
    <xf numFmtId="49" fontId="0" fillId="0" borderId="0" xfId="0" applyNumberFormat="1" applyBorder="1" applyAlignment="1">
      <alignment horizontal="centerContinuous"/>
    </xf>
    <xf numFmtId="39" fontId="2" fillId="0" borderId="0" xfId="0" applyNumberFormat="1" applyFont="1"/>
    <xf numFmtId="49" fontId="2" fillId="0" borderId="0" xfId="0" applyNumberFormat="1" applyFont="1"/>
    <xf numFmtId="39" fontId="2" fillId="0" borderId="3" xfId="0" applyNumberFormat="1" applyFont="1" applyBorder="1"/>
    <xf numFmtId="39" fontId="2" fillId="0" borderId="0" xfId="0" applyNumberFormat="1" applyFont="1" applyBorder="1"/>
    <xf numFmtId="39" fontId="2" fillId="0" borderId="4" xfId="0" applyNumberFormat="1" applyFont="1" applyBorder="1"/>
    <xf numFmtId="39" fontId="2" fillId="0" borderId="5" xfId="0" applyNumberFormat="1" applyFont="1" applyBorder="1"/>
    <xf numFmtId="39" fontId="1" fillId="0" borderId="6" xfId="0" applyNumberFormat="1" applyFont="1" applyBorder="1"/>
    <xf numFmtId="0" fontId="1" fillId="0" borderId="0" xfId="0" applyFont="1"/>
    <xf numFmtId="49" fontId="1" fillId="0" borderId="0" xfId="0" applyNumberFormat="1" applyFont="1" applyAlignment="1">
      <alignment horizontal="center"/>
    </xf>
    <xf numFmtId="49" fontId="1" fillId="0" borderId="2" xfId="0" applyNumberFormat="1" applyFont="1" applyBorder="1" applyAlignment="1">
      <alignment horizontal="center"/>
    </xf>
    <xf numFmtId="49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0" fontId="1" fillId="0" borderId="0" xfId="0" applyNumberFormat="1" applyFont="1"/>
    <xf numFmtId="0" fontId="0" fillId="0" borderId="0" xfId="0" applyNumberFormat="1"/>
    <xf numFmtId="0" fontId="4" fillId="0" borderId="0" xfId="1" applyFont="1"/>
    <xf numFmtId="0" fontId="5" fillId="0" borderId="0" xfId="1" applyFont="1"/>
  </cellXfs>
  <cellStyles count="2">
    <cellStyle name="Normal" xfId="0" builtinId="0"/>
    <cellStyle name="Normal 2" xfId="1" xr:uid="{CB706D79-1B78-41D4-857A-3F8A89805D81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7</xdr:col>
      <xdr:colOff>885825</xdr:colOff>
      <xdr:row>30</xdr:row>
      <xdr:rowOff>66675</xdr:rowOff>
    </xdr:to>
    <xdr:pic>
      <xdr:nvPicPr>
        <xdr:cNvPr id="2" name="Picture 2">
          <a:extLst>
            <a:ext uri="{FF2B5EF4-FFF2-40B4-BE49-F238E27FC236}">
              <a16:creationId xmlns:a16="http://schemas.microsoft.com/office/drawing/2014/main" id="{9A11A745-52D6-410B-9F1D-828BD916FEF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12411075" cy="63817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A7543E-889A-4504-923F-81C8066B1BE6}">
  <dimension ref="B1:C40"/>
  <sheetViews>
    <sheetView showGridLines="0" zoomScale="84" zoomScaleNormal="84" workbookViewId="0"/>
  </sheetViews>
  <sheetFormatPr defaultColWidth="7.75" defaultRowHeight="15"/>
  <cols>
    <col min="1" max="1" width="2.625" style="18" customWidth="1"/>
    <col min="2" max="2" width="3.625" style="18" customWidth="1"/>
    <col min="3" max="3" width="47.25" style="18" customWidth="1"/>
    <col min="4" max="4" width="3.25" style="18" customWidth="1"/>
    <col min="5" max="5" width="79" style="18" customWidth="1"/>
    <col min="6" max="7" width="7.75" style="18"/>
    <col min="8" max="8" width="13.5" style="18" customWidth="1"/>
    <col min="9" max="9" width="4.5" style="18" customWidth="1"/>
    <col min="10" max="11" width="7.75" style="18"/>
    <col min="12" max="12" width="2.625" style="18" customWidth="1"/>
    <col min="13" max="15" width="7.75" style="18"/>
    <col min="16" max="16" width="6.125" style="18" customWidth="1"/>
    <col min="17" max="256" width="7.75" style="18"/>
    <col min="257" max="257" width="2.625" style="18" customWidth="1"/>
    <col min="258" max="258" width="3.625" style="18" customWidth="1"/>
    <col min="259" max="259" width="47.25" style="18" customWidth="1"/>
    <col min="260" max="260" width="3.25" style="18" customWidth="1"/>
    <col min="261" max="261" width="79" style="18" customWidth="1"/>
    <col min="262" max="263" width="7.75" style="18"/>
    <col min="264" max="264" width="13.5" style="18" customWidth="1"/>
    <col min="265" max="265" width="4.5" style="18" customWidth="1"/>
    <col min="266" max="267" width="7.75" style="18"/>
    <col min="268" max="268" width="2.625" style="18" customWidth="1"/>
    <col min="269" max="271" width="7.75" style="18"/>
    <col min="272" max="272" width="6.125" style="18" customWidth="1"/>
    <col min="273" max="512" width="7.75" style="18"/>
    <col min="513" max="513" width="2.625" style="18" customWidth="1"/>
    <col min="514" max="514" width="3.625" style="18" customWidth="1"/>
    <col min="515" max="515" width="47.25" style="18" customWidth="1"/>
    <col min="516" max="516" width="3.25" style="18" customWidth="1"/>
    <col min="517" max="517" width="79" style="18" customWidth="1"/>
    <col min="518" max="519" width="7.75" style="18"/>
    <col min="520" max="520" width="13.5" style="18" customWidth="1"/>
    <col min="521" max="521" width="4.5" style="18" customWidth="1"/>
    <col min="522" max="523" width="7.75" style="18"/>
    <col min="524" max="524" width="2.625" style="18" customWidth="1"/>
    <col min="525" max="527" width="7.75" style="18"/>
    <col min="528" max="528" width="6.125" style="18" customWidth="1"/>
    <col min="529" max="768" width="7.75" style="18"/>
    <col min="769" max="769" width="2.625" style="18" customWidth="1"/>
    <col min="770" max="770" width="3.625" style="18" customWidth="1"/>
    <col min="771" max="771" width="47.25" style="18" customWidth="1"/>
    <col min="772" max="772" width="3.25" style="18" customWidth="1"/>
    <col min="773" max="773" width="79" style="18" customWidth="1"/>
    <col min="774" max="775" width="7.75" style="18"/>
    <col min="776" max="776" width="13.5" style="18" customWidth="1"/>
    <col min="777" max="777" width="4.5" style="18" customWidth="1"/>
    <col min="778" max="779" width="7.75" style="18"/>
    <col min="780" max="780" width="2.625" style="18" customWidth="1"/>
    <col min="781" max="783" width="7.75" style="18"/>
    <col min="784" max="784" width="6.125" style="18" customWidth="1"/>
    <col min="785" max="1024" width="7.75" style="18"/>
    <col min="1025" max="1025" width="2.625" style="18" customWidth="1"/>
    <col min="1026" max="1026" width="3.625" style="18" customWidth="1"/>
    <col min="1027" max="1027" width="47.25" style="18" customWidth="1"/>
    <col min="1028" max="1028" width="3.25" style="18" customWidth="1"/>
    <col min="1029" max="1029" width="79" style="18" customWidth="1"/>
    <col min="1030" max="1031" width="7.75" style="18"/>
    <col min="1032" max="1032" width="13.5" style="18" customWidth="1"/>
    <col min="1033" max="1033" width="4.5" style="18" customWidth="1"/>
    <col min="1034" max="1035" width="7.75" style="18"/>
    <col min="1036" max="1036" width="2.625" style="18" customWidth="1"/>
    <col min="1037" max="1039" width="7.75" style="18"/>
    <col min="1040" max="1040" width="6.125" style="18" customWidth="1"/>
    <col min="1041" max="1280" width="7.75" style="18"/>
    <col min="1281" max="1281" width="2.625" style="18" customWidth="1"/>
    <col min="1282" max="1282" width="3.625" style="18" customWidth="1"/>
    <col min="1283" max="1283" width="47.25" style="18" customWidth="1"/>
    <col min="1284" max="1284" width="3.25" style="18" customWidth="1"/>
    <col min="1285" max="1285" width="79" style="18" customWidth="1"/>
    <col min="1286" max="1287" width="7.75" style="18"/>
    <col min="1288" max="1288" width="13.5" style="18" customWidth="1"/>
    <col min="1289" max="1289" width="4.5" style="18" customWidth="1"/>
    <col min="1290" max="1291" width="7.75" style="18"/>
    <col min="1292" max="1292" width="2.625" style="18" customWidth="1"/>
    <col min="1293" max="1295" width="7.75" style="18"/>
    <col min="1296" max="1296" width="6.125" style="18" customWidth="1"/>
    <col min="1297" max="1536" width="7.75" style="18"/>
    <col min="1537" max="1537" width="2.625" style="18" customWidth="1"/>
    <col min="1538" max="1538" width="3.625" style="18" customWidth="1"/>
    <col min="1539" max="1539" width="47.25" style="18" customWidth="1"/>
    <col min="1540" max="1540" width="3.25" style="18" customWidth="1"/>
    <col min="1541" max="1541" width="79" style="18" customWidth="1"/>
    <col min="1542" max="1543" width="7.75" style="18"/>
    <col min="1544" max="1544" width="13.5" style="18" customWidth="1"/>
    <col min="1545" max="1545" width="4.5" style="18" customWidth="1"/>
    <col min="1546" max="1547" width="7.75" style="18"/>
    <col min="1548" max="1548" width="2.625" style="18" customWidth="1"/>
    <col min="1549" max="1551" width="7.75" style="18"/>
    <col min="1552" max="1552" width="6.125" style="18" customWidth="1"/>
    <col min="1553" max="1792" width="7.75" style="18"/>
    <col min="1793" max="1793" width="2.625" style="18" customWidth="1"/>
    <col min="1794" max="1794" width="3.625" style="18" customWidth="1"/>
    <col min="1795" max="1795" width="47.25" style="18" customWidth="1"/>
    <col min="1796" max="1796" width="3.25" style="18" customWidth="1"/>
    <col min="1797" max="1797" width="79" style="18" customWidth="1"/>
    <col min="1798" max="1799" width="7.75" style="18"/>
    <col min="1800" max="1800" width="13.5" style="18" customWidth="1"/>
    <col min="1801" max="1801" width="4.5" style="18" customWidth="1"/>
    <col min="1802" max="1803" width="7.75" style="18"/>
    <col min="1804" max="1804" width="2.625" style="18" customWidth="1"/>
    <col min="1805" max="1807" width="7.75" style="18"/>
    <col min="1808" max="1808" width="6.125" style="18" customWidth="1"/>
    <col min="1809" max="2048" width="7.75" style="18"/>
    <col min="2049" max="2049" width="2.625" style="18" customWidth="1"/>
    <col min="2050" max="2050" width="3.625" style="18" customWidth="1"/>
    <col min="2051" max="2051" width="47.25" style="18" customWidth="1"/>
    <col min="2052" max="2052" width="3.25" style="18" customWidth="1"/>
    <col min="2053" max="2053" width="79" style="18" customWidth="1"/>
    <col min="2054" max="2055" width="7.75" style="18"/>
    <col min="2056" max="2056" width="13.5" style="18" customWidth="1"/>
    <col min="2057" max="2057" width="4.5" style="18" customWidth="1"/>
    <col min="2058" max="2059" width="7.75" style="18"/>
    <col min="2060" max="2060" width="2.625" style="18" customWidth="1"/>
    <col min="2061" max="2063" width="7.75" style="18"/>
    <col min="2064" max="2064" width="6.125" style="18" customWidth="1"/>
    <col min="2065" max="2304" width="7.75" style="18"/>
    <col min="2305" max="2305" width="2.625" style="18" customWidth="1"/>
    <col min="2306" max="2306" width="3.625" style="18" customWidth="1"/>
    <col min="2307" max="2307" width="47.25" style="18" customWidth="1"/>
    <col min="2308" max="2308" width="3.25" style="18" customWidth="1"/>
    <col min="2309" max="2309" width="79" style="18" customWidth="1"/>
    <col min="2310" max="2311" width="7.75" style="18"/>
    <col min="2312" max="2312" width="13.5" style="18" customWidth="1"/>
    <col min="2313" max="2313" width="4.5" style="18" customWidth="1"/>
    <col min="2314" max="2315" width="7.75" style="18"/>
    <col min="2316" max="2316" width="2.625" style="18" customWidth="1"/>
    <col min="2317" max="2319" width="7.75" style="18"/>
    <col min="2320" max="2320" width="6.125" style="18" customWidth="1"/>
    <col min="2321" max="2560" width="7.75" style="18"/>
    <col min="2561" max="2561" width="2.625" style="18" customWidth="1"/>
    <col min="2562" max="2562" width="3.625" style="18" customWidth="1"/>
    <col min="2563" max="2563" width="47.25" style="18" customWidth="1"/>
    <col min="2564" max="2564" width="3.25" style="18" customWidth="1"/>
    <col min="2565" max="2565" width="79" style="18" customWidth="1"/>
    <col min="2566" max="2567" width="7.75" style="18"/>
    <col min="2568" max="2568" width="13.5" style="18" customWidth="1"/>
    <col min="2569" max="2569" width="4.5" style="18" customWidth="1"/>
    <col min="2570" max="2571" width="7.75" style="18"/>
    <col min="2572" max="2572" width="2.625" style="18" customWidth="1"/>
    <col min="2573" max="2575" width="7.75" style="18"/>
    <col min="2576" max="2576" width="6.125" style="18" customWidth="1"/>
    <col min="2577" max="2816" width="7.75" style="18"/>
    <col min="2817" max="2817" width="2.625" style="18" customWidth="1"/>
    <col min="2818" max="2818" width="3.625" style="18" customWidth="1"/>
    <col min="2819" max="2819" width="47.25" style="18" customWidth="1"/>
    <col min="2820" max="2820" width="3.25" style="18" customWidth="1"/>
    <col min="2821" max="2821" width="79" style="18" customWidth="1"/>
    <col min="2822" max="2823" width="7.75" style="18"/>
    <col min="2824" max="2824" width="13.5" style="18" customWidth="1"/>
    <col min="2825" max="2825" width="4.5" style="18" customWidth="1"/>
    <col min="2826" max="2827" width="7.75" style="18"/>
    <col min="2828" max="2828" width="2.625" style="18" customWidth="1"/>
    <col min="2829" max="2831" width="7.75" style="18"/>
    <col min="2832" max="2832" width="6.125" style="18" customWidth="1"/>
    <col min="2833" max="3072" width="7.75" style="18"/>
    <col min="3073" max="3073" width="2.625" style="18" customWidth="1"/>
    <col min="3074" max="3074" width="3.625" style="18" customWidth="1"/>
    <col min="3075" max="3075" width="47.25" style="18" customWidth="1"/>
    <col min="3076" max="3076" width="3.25" style="18" customWidth="1"/>
    <col min="3077" max="3077" width="79" style="18" customWidth="1"/>
    <col min="3078" max="3079" width="7.75" style="18"/>
    <col min="3080" max="3080" width="13.5" style="18" customWidth="1"/>
    <col min="3081" max="3081" width="4.5" style="18" customWidth="1"/>
    <col min="3082" max="3083" width="7.75" style="18"/>
    <col min="3084" max="3084" width="2.625" style="18" customWidth="1"/>
    <col min="3085" max="3087" width="7.75" style="18"/>
    <col min="3088" max="3088" width="6.125" style="18" customWidth="1"/>
    <col min="3089" max="3328" width="7.75" style="18"/>
    <col min="3329" max="3329" width="2.625" style="18" customWidth="1"/>
    <col min="3330" max="3330" width="3.625" style="18" customWidth="1"/>
    <col min="3331" max="3331" width="47.25" style="18" customWidth="1"/>
    <col min="3332" max="3332" width="3.25" style="18" customWidth="1"/>
    <col min="3333" max="3333" width="79" style="18" customWidth="1"/>
    <col min="3334" max="3335" width="7.75" style="18"/>
    <col min="3336" max="3336" width="13.5" style="18" customWidth="1"/>
    <col min="3337" max="3337" width="4.5" style="18" customWidth="1"/>
    <col min="3338" max="3339" width="7.75" style="18"/>
    <col min="3340" max="3340" width="2.625" style="18" customWidth="1"/>
    <col min="3341" max="3343" width="7.75" style="18"/>
    <col min="3344" max="3344" width="6.125" style="18" customWidth="1"/>
    <col min="3345" max="3584" width="7.75" style="18"/>
    <col min="3585" max="3585" width="2.625" style="18" customWidth="1"/>
    <col min="3586" max="3586" width="3.625" style="18" customWidth="1"/>
    <col min="3587" max="3587" width="47.25" style="18" customWidth="1"/>
    <col min="3588" max="3588" width="3.25" style="18" customWidth="1"/>
    <col min="3589" max="3589" width="79" style="18" customWidth="1"/>
    <col min="3590" max="3591" width="7.75" style="18"/>
    <col min="3592" max="3592" width="13.5" style="18" customWidth="1"/>
    <col min="3593" max="3593" width="4.5" style="18" customWidth="1"/>
    <col min="3594" max="3595" width="7.75" style="18"/>
    <col min="3596" max="3596" width="2.625" style="18" customWidth="1"/>
    <col min="3597" max="3599" width="7.75" style="18"/>
    <col min="3600" max="3600" width="6.125" style="18" customWidth="1"/>
    <col min="3601" max="3840" width="7.75" style="18"/>
    <col min="3841" max="3841" width="2.625" style="18" customWidth="1"/>
    <col min="3842" max="3842" width="3.625" style="18" customWidth="1"/>
    <col min="3843" max="3843" width="47.25" style="18" customWidth="1"/>
    <col min="3844" max="3844" width="3.25" style="18" customWidth="1"/>
    <col min="3845" max="3845" width="79" style="18" customWidth="1"/>
    <col min="3846" max="3847" width="7.75" style="18"/>
    <col min="3848" max="3848" width="13.5" style="18" customWidth="1"/>
    <col min="3849" max="3849" width="4.5" style="18" customWidth="1"/>
    <col min="3850" max="3851" width="7.75" style="18"/>
    <col min="3852" max="3852" width="2.625" style="18" customWidth="1"/>
    <col min="3853" max="3855" width="7.75" style="18"/>
    <col min="3856" max="3856" width="6.125" style="18" customWidth="1"/>
    <col min="3857" max="4096" width="7.75" style="18"/>
    <col min="4097" max="4097" width="2.625" style="18" customWidth="1"/>
    <col min="4098" max="4098" width="3.625" style="18" customWidth="1"/>
    <col min="4099" max="4099" width="47.25" style="18" customWidth="1"/>
    <col min="4100" max="4100" width="3.25" style="18" customWidth="1"/>
    <col min="4101" max="4101" width="79" style="18" customWidth="1"/>
    <col min="4102" max="4103" width="7.75" style="18"/>
    <col min="4104" max="4104" width="13.5" style="18" customWidth="1"/>
    <col min="4105" max="4105" width="4.5" style="18" customWidth="1"/>
    <col min="4106" max="4107" width="7.75" style="18"/>
    <col min="4108" max="4108" width="2.625" style="18" customWidth="1"/>
    <col min="4109" max="4111" width="7.75" style="18"/>
    <col min="4112" max="4112" width="6.125" style="18" customWidth="1"/>
    <col min="4113" max="4352" width="7.75" style="18"/>
    <col min="4353" max="4353" width="2.625" style="18" customWidth="1"/>
    <col min="4354" max="4354" width="3.625" style="18" customWidth="1"/>
    <col min="4355" max="4355" width="47.25" style="18" customWidth="1"/>
    <col min="4356" max="4356" width="3.25" style="18" customWidth="1"/>
    <col min="4357" max="4357" width="79" style="18" customWidth="1"/>
    <col min="4358" max="4359" width="7.75" style="18"/>
    <col min="4360" max="4360" width="13.5" style="18" customWidth="1"/>
    <col min="4361" max="4361" width="4.5" style="18" customWidth="1"/>
    <col min="4362" max="4363" width="7.75" style="18"/>
    <col min="4364" max="4364" width="2.625" style="18" customWidth="1"/>
    <col min="4365" max="4367" width="7.75" style="18"/>
    <col min="4368" max="4368" width="6.125" style="18" customWidth="1"/>
    <col min="4369" max="4608" width="7.75" style="18"/>
    <col min="4609" max="4609" width="2.625" style="18" customWidth="1"/>
    <col min="4610" max="4610" width="3.625" style="18" customWidth="1"/>
    <col min="4611" max="4611" width="47.25" style="18" customWidth="1"/>
    <col min="4612" max="4612" width="3.25" style="18" customWidth="1"/>
    <col min="4613" max="4613" width="79" style="18" customWidth="1"/>
    <col min="4614" max="4615" width="7.75" style="18"/>
    <col min="4616" max="4616" width="13.5" style="18" customWidth="1"/>
    <col min="4617" max="4617" width="4.5" style="18" customWidth="1"/>
    <col min="4618" max="4619" width="7.75" style="18"/>
    <col min="4620" max="4620" width="2.625" style="18" customWidth="1"/>
    <col min="4621" max="4623" width="7.75" style="18"/>
    <col min="4624" max="4624" width="6.125" style="18" customWidth="1"/>
    <col min="4625" max="4864" width="7.75" style="18"/>
    <col min="4865" max="4865" width="2.625" style="18" customWidth="1"/>
    <col min="4866" max="4866" width="3.625" style="18" customWidth="1"/>
    <col min="4867" max="4867" width="47.25" style="18" customWidth="1"/>
    <col min="4868" max="4868" width="3.25" style="18" customWidth="1"/>
    <col min="4869" max="4869" width="79" style="18" customWidth="1"/>
    <col min="4870" max="4871" width="7.75" style="18"/>
    <col min="4872" max="4872" width="13.5" style="18" customWidth="1"/>
    <col min="4873" max="4873" width="4.5" style="18" customWidth="1"/>
    <col min="4874" max="4875" width="7.75" style="18"/>
    <col min="4876" max="4876" width="2.625" style="18" customWidth="1"/>
    <col min="4877" max="4879" width="7.75" style="18"/>
    <col min="4880" max="4880" width="6.125" style="18" customWidth="1"/>
    <col min="4881" max="5120" width="7.75" style="18"/>
    <col min="5121" max="5121" width="2.625" style="18" customWidth="1"/>
    <col min="5122" max="5122" width="3.625" style="18" customWidth="1"/>
    <col min="5123" max="5123" width="47.25" style="18" customWidth="1"/>
    <col min="5124" max="5124" width="3.25" style="18" customWidth="1"/>
    <col min="5125" max="5125" width="79" style="18" customWidth="1"/>
    <col min="5126" max="5127" width="7.75" style="18"/>
    <col min="5128" max="5128" width="13.5" style="18" customWidth="1"/>
    <col min="5129" max="5129" width="4.5" style="18" customWidth="1"/>
    <col min="5130" max="5131" width="7.75" style="18"/>
    <col min="5132" max="5132" width="2.625" style="18" customWidth="1"/>
    <col min="5133" max="5135" width="7.75" style="18"/>
    <col min="5136" max="5136" width="6.125" style="18" customWidth="1"/>
    <col min="5137" max="5376" width="7.75" style="18"/>
    <col min="5377" max="5377" width="2.625" style="18" customWidth="1"/>
    <col min="5378" max="5378" width="3.625" style="18" customWidth="1"/>
    <col min="5379" max="5379" width="47.25" style="18" customWidth="1"/>
    <col min="5380" max="5380" width="3.25" style="18" customWidth="1"/>
    <col min="5381" max="5381" width="79" style="18" customWidth="1"/>
    <col min="5382" max="5383" width="7.75" style="18"/>
    <col min="5384" max="5384" width="13.5" style="18" customWidth="1"/>
    <col min="5385" max="5385" width="4.5" style="18" customWidth="1"/>
    <col min="5386" max="5387" width="7.75" style="18"/>
    <col min="5388" max="5388" width="2.625" style="18" customWidth="1"/>
    <col min="5389" max="5391" width="7.75" style="18"/>
    <col min="5392" max="5392" width="6.125" style="18" customWidth="1"/>
    <col min="5393" max="5632" width="7.75" style="18"/>
    <col min="5633" max="5633" width="2.625" style="18" customWidth="1"/>
    <col min="5634" max="5634" width="3.625" style="18" customWidth="1"/>
    <col min="5635" max="5635" width="47.25" style="18" customWidth="1"/>
    <col min="5636" max="5636" width="3.25" style="18" customWidth="1"/>
    <col min="5637" max="5637" width="79" style="18" customWidth="1"/>
    <col min="5638" max="5639" width="7.75" style="18"/>
    <col min="5640" max="5640" width="13.5" style="18" customWidth="1"/>
    <col min="5641" max="5641" width="4.5" style="18" customWidth="1"/>
    <col min="5642" max="5643" width="7.75" style="18"/>
    <col min="5644" max="5644" width="2.625" style="18" customWidth="1"/>
    <col min="5645" max="5647" width="7.75" style="18"/>
    <col min="5648" max="5648" width="6.125" style="18" customWidth="1"/>
    <col min="5649" max="5888" width="7.75" style="18"/>
    <col min="5889" max="5889" width="2.625" style="18" customWidth="1"/>
    <col min="5890" max="5890" width="3.625" style="18" customWidth="1"/>
    <col min="5891" max="5891" width="47.25" style="18" customWidth="1"/>
    <col min="5892" max="5892" width="3.25" style="18" customWidth="1"/>
    <col min="5893" max="5893" width="79" style="18" customWidth="1"/>
    <col min="5894" max="5895" width="7.75" style="18"/>
    <col min="5896" max="5896" width="13.5" style="18" customWidth="1"/>
    <col min="5897" max="5897" width="4.5" style="18" customWidth="1"/>
    <col min="5898" max="5899" width="7.75" style="18"/>
    <col min="5900" max="5900" width="2.625" style="18" customWidth="1"/>
    <col min="5901" max="5903" width="7.75" style="18"/>
    <col min="5904" max="5904" width="6.125" style="18" customWidth="1"/>
    <col min="5905" max="6144" width="7.75" style="18"/>
    <col min="6145" max="6145" width="2.625" style="18" customWidth="1"/>
    <col min="6146" max="6146" width="3.625" style="18" customWidth="1"/>
    <col min="6147" max="6147" width="47.25" style="18" customWidth="1"/>
    <col min="6148" max="6148" width="3.25" style="18" customWidth="1"/>
    <col min="6149" max="6149" width="79" style="18" customWidth="1"/>
    <col min="6150" max="6151" width="7.75" style="18"/>
    <col min="6152" max="6152" width="13.5" style="18" customWidth="1"/>
    <col min="6153" max="6153" width="4.5" style="18" customWidth="1"/>
    <col min="6154" max="6155" width="7.75" style="18"/>
    <col min="6156" max="6156" width="2.625" style="18" customWidth="1"/>
    <col min="6157" max="6159" width="7.75" style="18"/>
    <col min="6160" max="6160" width="6.125" style="18" customWidth="1"/>
    <col min="6161" max="6400" width="7.75" style="18"/>
    <col min="6401" max="6401" width="2.625" style="18" customWidth="1"/>
    <col min="6402" max="6402" width="3.625" style="18" customWidth="1"/>
    <col min="6403" max="6403" width="47.25" style="18" customWidth="1"/>
    <col min="6404" max="6404" width="3.25" style="18" customWidth="1"/>
    <col min="6405" max="6405" width="79" style="18" customWidth="1"/>
    <col min="6406" max="6407" width="7.75" style="18"/>
    <col min="6408" max="6408" width="13.5" style="18" customWidth="1"/>
    <col min="6409" max="6409" width="4.5" style="18" customWidth="1"/>
    <col min="6410" max="6411" width="7.75" style="18"/>
    <col min="6412" max="6412" width="2.625" style="18" customWidth="1"/>
    <col min="6413" max="6415" width="7.75" style="18"/>
    <col min="6416" max="6416" width="6.125" style="18" customWidth="1"/>
    <col min="6417" max="6656" width="7.75" style="18"/>
    <col min="6657" max="6657" width="2.625" style="18" customWidth="1"/>
    <col min="6658" max="6658" width="3.625" style="18" customWidth="1"/>
    <col min="6659" max="6659" width="47.25" style="18" customWidth="1"/>
    <col min="6660" max="6660" width="3.25" style="18" customWidth="1"/>
    <col min="6661" max="6661" width="79" style="18" customWidth="1"/>
    <col min="6662" max="6663" width="7.75" style="18"/>
    <col min="6664" max="6664" width="13.5" style="18" customWidth="1"/>
    <col min="6665" max="6665" width="4.5" style="18" customWidth="1"/>
    <col min="6666" max="6667" width="7.75" style="18"/>
    <col min="6668" max="6668" width="2.625" style="18" customWidth="1"/>
    <col min="6669" max="6671" width="7.75" style="18"/>
    <col min="6672" max="6672" width="6.125" style="18" customWidth="1"/>
    <col min="6673" max="6912" width="7.75" style="18"/>
    <col min="6913" max="6913" width="2.625" style="18" customWidth="1"/>
    <col min="6914" max="6914" width="3.625" style="18" customWidth="1"/>
    <col min="6915" max="6915" width="47.25" style="18" customWidth="1"/>
    <col min="6916" max="6916" width="3.25" style="18" customWidth="1"/>
    <col min="6917" max="6917" width="79" style="18" customWidth="1"/>
    <col min="6918" max="6919" width="7.75" style="18"/>
    <col min="6920" max="6920" width="13.5" style="18" customWidth="1"/>
    <col min="6921" max="6921" width="4.5" style="18" customWidth="1"/>
    <col min="6922" max="6923" width="7.75" style="18"/>
    <col min="6924" max="6924" width="2.625" style="18" customWidth="1"/>
    <col min="6925" max="6927" width="7.75" style="18"/>
    <col min="6928" max="6928" width="6.125" style="18" customWidth="1"/>
    <col min="6929" max="7168" width="7.75" style="18"/>
    <col min="7169" max="7169" width="2.625" style="18" customWidth="1"/>
    <col min="7170" max="7170" width="3.625" style="18" customWidth="1"/>
    <col min="7171" max="7171" width="47.25" style="18" customWidth="1"/>
    <col min="7172" max="7172" width="3.25" style="18" customWidth="1"/>
    <col min="7173" max="7173" width="79" style="18" customWidth="1"/>
    <col min="7174" max="7175" width="7.75" style="18"/>
    <col min="7176" max="7176" width="13.5" style="18" customWidth="1"/>
    <col min="7177" max="7177" width="4.5" style="18" customWidth="1"/>
    <col min="7178" max="7179" width="7.75" style="18"/>
    <col min="7180" max="7180" width="2.625" style="18" customWidth="1"/>
    <col min="7181" max="7183" width="7.75" style="18"/>
    <col min="7184" max="7184" width="6.125" style="18" customWidth="1"/>
    <col min="7185" max="7424" width="7.75" style="18"/>
    <col min="7425" max="7425" width="2.625" style="18" customWidth="1"/>
    <col min="7426" max="7426" width="3.625" style="18" customWidth="1"/>
    <col min="7427" max="7427" width="47.25" style="18" customWidth="1"/>
    <col min="7428" max="7428" width="3.25" style="18" customWidth="1"/>
    <col min="7429" max="7429" width="79" style="18" customWidth="1"/>
    <col min="7430" max="7431" width="7.75" style="18"/>
    <col min="7432" max="7432" width="13.5" style="18" customWidth="1"/>
    <col min="7433" max="7433" width="4.5" style="18" customWidth="1"/>
    <col min="7434" max="7435" width="7.75" style="18"/>
    <col min="7436" max="7436" width="2.625" style="18" customWidth="1"/>
    <col min="7437" max="7439" width="7.75" style="18"/>
    <col min="7440" max="7440" width="6.125" style="18" customWidth="1"/>
    <col min="7441" max="7680" width="7.75" style="18"/>
    <col min="7681" max="7681" width="2.625" style="18" customWidth="1"/>
    <col min="7682" max="7682" width="3.625" style="18" customWidth="1"/>
    <col min="7683" max="7683" width="47.25" style="18" customWidth="1"/>
    <col min="7684" max="7684" width="3.25" style="18" customWidth="1"/>
    <col min="7685" max="7685" width="79" style="18" customWidth="1"/>
    <col min="7686" max="7687" width="7.75" style="18"/>
    <col min="7688" max="7688" width="13.5" style="18" customWidth="1"/>
    <col min="7689" max="7689" width="4.5" style="18" customWidth="1"/>
    <col min="7690" max="7691" width="7.75" style="18"/>
    <col min="7692" max="7692" width="2.625" style="18" customWidth="1"/>
    <col min="7693" max="7695" width="7.75" style="18"/>
    <col min="7696" max="7696" width="6.125" style="18" customWidth="1"/>
    <col min="7697" max="7936" width="7.75" style="18"/>
    <col min="7937" max="7937" width="2.625" style="18" customWidth="1"/>
    <col min="7938" max="7938" width="3.625" style="18" customWidth="1"/>
    <col min="7939" max="7939" width="47.25" style="18" customWidth="1"/>
    <col min="7940" max="7940" width="3.25" style="18" customWidth="1"/>
    <col min="7941" max="7941" width="79" style="18" customWidth="1"/>
    <col min="7942" max="7943" width="7.75" style="18"/>
    <col min="7944" max="7944" width="13.5" style="18" customWidth="1"/>
    <col min="7945" max="7945" width="4.5" style="18" customWidth="1"/>
    <col min="7946" max="7947" width="7.75" style="18"/>
    <col min="7948" max="7948" width="2.625" style="18" customWidth="1"/>
    <col min="7949" max="7951" width="7.75" style="18"/>
    <col min="7952" max="7952" width="6.125" style="18" customWidth="1"/>
    <col min="7953" max="8192" width="7.75" style="18"/>
    <col min="8193" max="8193" width="2.625" style="18" customWidth="1"/>
    <col min="8194" max="8194" width="3.625" style="18" customWidth="1"/>
    <col min="8195" max="8195" width="47.25" style="18" customWidth="1"/>
    <col min="8196" max="8196" width="3.25" style="18" customWidth="1"/>
    <col min="8197" max="8197" width="79" style="18" customWidth="1"/>
    <col min="8198" max="8199" width="7.75" style="18"/>
    <col min="8200" max="8200" width="13.5" style="18" customWidth="1"/>
    <col min="8201" max="8201" width="4.5" style="18" customWidth="1"/>
    <col min="8202" max="8203" width="7.75" style="18"/>
    <col min="8204" max="8204" width="2.625" style="18" customWidth="1"/>
    <col min="8205" max="8207" width="7.75" style="18"/>
    <col min="8208" max="8208" width="6.125" style="18" customWidth="1"/>
    <col min="8209" max="8448" width="7.75" style="18"/>
    <col min="8449" max="8449" width="2.625" style="18" customWidth="1"/>
    <col min="8450" max="8450" width="3.625" style="18" customWidth="1"/>
    <col min="8451" max="8451" width="47.25" style="18" customWidth="1"/>
    <col min="8452" max="8452" width="3.25" style="18" customWidth="1"/>
    <col min="8453" max="8453" width="79" style="18" customWidth="1"/>
    <col min="8454" max="8455" width="7.75" style="18"/>
    <col min="8456" max="8456" width="13.5" style="18" customWidth="1"/>
    <col min="8457" max="8457" width="4.5" style="18" customWidth="1"/>
    <col min="8458" max="8459" width="7.75" style="18"/>
    <col min="8460" max="8460" width="2.625" style="18" customWidth="1"/>
    <col min="8461" max="8463" width="7.75" style="18"/>
    <col min="8464" max="8464" width="6.125" style="18" customWidth="1"/>
    <col min="8465" max="8704" width="7.75" style="18"/>
    <col min="8705" max="8705" width="2.625" style="18" customWidth="1"/>
    <col min="8706" max="8706" width="3.625" style="18" customWidth="1"/>
    <col min="8707" max="8707" width="47.25" style="18" customWidth="1"/>
    <col min="8708" max="8708" width="3.25" style="18" customWidth="1"/>
    <col min="8709" max="8709" width="79" style="18" customWidth="1"/>
    <col min="8710" max="8711" width="7.75" style="18"/>
    <col min="8712" max="8712" width="13.5" style="18" customWidth="1"/>
    <col min="8713" max="8713" width="4.5" style="18" customWidth="1"/>
    <col min="8714" max="8715" width="7.75" style="18"/>
    <col min="8716" max="8716" width="2.625" style="18" customWidth="1"/>
    <col min="8717" max="8719" width="7.75" style="18"/>
    <col min="8720" max="8720" width="6.125" style="18" customWidth="1"/>
    <col min="8721" max="8960" width="7.75" style="18"/>
    <col min="8961" max="8961" width="2.625" style="18" customWidth="1"/>
    <col min="8962" max="8962" width="3.625" style="18" customWidth="1"/>
    <col min="8963" max="8963" width="47.25" style="18" customWidth="1"/>
    <col min="8964" max="8964" width="3.25" style="18" customWidth="1"/>
    <col min="8965" max="8965" width="79" style="18" customWidth="1"/>
    <col min="8966" max="8967" width="7.75" style="18"/>
    <col min="8968" max="8968" width="13.5" style="18" customWidth="1"/>
    <col min="8969" max="8969" width="4.5" style="18" customWidth="1"/>
    <col min="8970" max="8971" width="7.75" style="18"/>
    <col min="8972" max="8972" width="2.625" style="18" customWidth="1"/>
    <col min="8973" max="8975" width="7.75" style="18"/>
    <col min="8976" max="8976" width="6.125" style="18" customWidth="1"/>
    <col min="8977" max="9216" width="7.75" style="18"/>
    <col min="9217" max="9217" width="2.625" style="18" customWidth="1"/>
    <col min="9218" max="9218" width="3.625" style="18" customWidth="1"/>
    <col min="9219" max="9219" width="47.25" style="18" customWidth="1"/>
    <col min="9220" max="9220" width="3.25" style="18" customWidth="1"/>
    <col min="9221" max="9221" width="79" style="18" customWidth="1"/>
    <col min="9222" max="9223" width="7.75" style="18"/>
    <col min="9224" max="9224" width="13.5" style="18" customWidth="1"/>
    <col min="9225" max="9225" width="4.5" style="18" customWidth="1"/>
    <col min="9226" max="9227" width="7.75" style="18"/>
    <col min="9228" max="9228" width="2.625" style="18" customWidth="1"/>
    <col min="9229" max="9231" width="7.75" style="18"/>
    <col min="9232" max="9232" width="6.125" style="18" customWidth="1"/>
    <col min="9233" max="9472" width="7.75" style="18"/>
    <col min="9473" max="9473" width="2.625" style="18" customWidth="1"/>
    <col min="9474" max="9474" width="3.625" style="18" customWidth="1"/>
    <col min="9475" max="9475" width="47.25" style="18" customWidth="1"/>
    <col min="9476" max="9476" width="3.25" style="18" customWidth="1"/>
    <col min="9477" max="9477" width="79" style="18" customWidth="1"/>
    <col min="9478" max="9479" width="7.75" style="18"/>
    <col min="9480" max="9480" width="13.5" style="18" customWidth="1"/>
    <col min="9481" max="9481" width="4.5" style="18" customWidth="1"/>
    <col min="9482" max="9483" width="7.75" style="18"/>
    <col min="9484" max="9484" width="2.625" style="18" customWidth="1"/>
    <col min="9485" max="9487" width="7.75" style="18"/>
    <col min="9488" max="9488" width="6.125" style="18" customWidth="1"/>
    <col min="9489" max="9728" width="7.75" style="18"/>
    <col min="9729" max="9729" width="2.625" style="18" customWidth="1"/>
    <col min="9730" max="9730" width="3.625" style="18" customWidth="1"/>
    <col min="9731" max="9731" width="47.25" style="18" customWidth="1"/>
    <col min="9732" max="9732" width="3.25" style="18" customWidth="1"/>
    <col min="9733" max="9733" width="79" style="18" customWidth="1"/>
    <col min="9734" max="9735" width="7.75" style="18"/>
    <col min="9736" max="9736" width="13.5" style="18" customWidth="1"/>
    <col min="9737" max="9737" width="4.5" style="18" customWidth="1"/>
    <col min="9738" max="9739" width="7.75" style="18"/>
    <col min="9740" max="9740" width="2.625" style="18" customWidth="1"/>
    <col min="9741" max="9743" width="7.75" style="18"/>
    <col min="9744" max="9744" width="6.125" style="18" customWidth="1"/>
    <col min="9745" max="9984" width="7.75" style="18"/>
    <col min="9985" max="9985" width="2.625" style="18" customWidth="1"/>
    <col min="9986" max="9986" width="3.625" style="18" customWidth="1"/>
    <col min="9987" max="9987" width="47.25" style="18" customWidth="1"/>
    <col min="9988" max="9988" width="3.25" style="18" customWidth="1"/>
    <col min="9989" max="9989" width="79" style="18" customWidth="1"/>
    <col min="9990" max="9991" width="7.75" style="18"/>
    <col min="9992" max="9992" width="13.5" style="18" customWidth="1"/>
    <col min="9993" max="9993" width="4.5" style="18" customWidth="1"/>
    <col min="9994" max="9995" width="7.75" style="18"/>
    <col min="9996" max="9996" width="2.625" style="18" customWidth="1"/>
    <col min="9997" max="9999" width="7.75" style="18"/>
    <col min="10000" max="10000" width="6.125" style="18" customWidth="1"/>
    <col min="10001" max="10240" width="7.75" style="18"/>
    <col min="10241" max="10241" width="2.625" style="18" customWidth="1"/>
    <col min="10242" max="10242" width="3.625" style="18" customWidth="1"/>
    <col min="10243" max="10243" width="47.25" style="18" customWidth="1"/>
    <col min="10244" max="10244" width="3.25" style="18" customWidth="1"/>
    <col min="10245" max="10245" width="79" style="18" customWidth="1"/>
    <col min="10246" max="10247" width="7.75" style="18"/>
    <col min="10248" max="10248" width="13.5" style="18" customWidth="1"/>
    <col min="10249" max="10249" width="4.5" style="18" customWidth="1"/>
    <col min="10250" max="10251" width="7.75" style="18"/>
    <col min="10252" max="10252" width="2.625" style="18" customWidth="1"/>
    <col min="10253" max="10255" width="7.75" style="18"/>
    <col min="10256" max="10256" width="6.125" style="18" customWidth="1"/>
    <col min="10257" max="10496" width="7.75" style="18"/>
    <col min="10497" max="10497" width="2.625" style="18" customWidth="1"/>
    <col min="10498" max="10498" width="3.625" style="18" customWidth="1"/>
    <col min="10499" max="10499" width="47.25" style="18" customWidth="1"/>
    <col min="10500" max="10500" width="3.25" style="18" customWidth="1"/>
    <col min="10501" max="10501" width="79" style="18" customWidth="1"/>
    <col min="10502" max="10503" width="7.75" style="18"/>
    <col min="10504" max="10504" width="13.5" style="18" customWidth="1"/>
    <col min="10505" max="10505" width="4.5" style="18" customWidth="1"/>
    <col min="10506" max="10507" width="7.75" style="18"/>
    <col min="10508" max="10508" width="2.625" style="18" customWidth="1"/>
    <col min="10509" max="10511" width="7.75" style="18"/>
    <col min="10512" max="10512" width="6.125" style="18" customWidth="1"/>
    <col min="10513" max="10752" width="7.75" style="18"/>
    <col min="10753" max="10753" width="2.625" style="18" customWidth="1"/>
    <col min="10754" max="10754" width="3.625" style="18" customWidth="1"/>
    <col min="10755" max="10755" width="47.25" style="18" customWidth="1"/>
    <col min="10756" max="10756" width="3.25" style="18" customWidth="1"/>
    <col min="10757" max="10757" width="79" style="18" customWidth="1"/>
    <col min="10758" max="10759" width="7.75" style="18"/>
    <col min="10760" max="10760" width="13.5" style="18" customWidth="1"/>
    <col min="10761" max="10761" width="4.5" style="18" customWidth="1"/>
    <col min="10762" max="10763" width="7.75" style="18"/>
    <col min="10764" max="10764" width="2.625" style="18" customWidth="1"/>
    <col min="10765" max="10767" width="7.75" style="18"/>
    <col min="10768" max="10768" width="6.125" style="18" customWidth="1"/>
    <col min="10769" max="11008" width="7.75" style="18"/>
    <col min="11009" max="11009" width="2.625" style="18" customWidth="1"/>
    <col min="11010" max="11010" width="3.625" style="18" customWidth="1"/>
    <col min="11011" max="11011" width="47.25" style="18" customWidth="1"/>
    <col min="11012" max="11012" width="3.25" style="18" customWidth="1"/>
    <col min="11013" max="11013" width="79" style="18" customWidth="1"/>
    <col min="11014" max="11015" width="7.75" style="18"/>
    <col min="11016" max="11016" width="13.5" style="18" customWidth="1"/>
    <col min="11017" max="11017" width="4.5" style="18" customWidth="1"/>
    <col min="11018" max="11019" width="7.75" style="18"/>
    <col min="11020" max="11020" width="2.625" style="18" customWidth="1"/>
    <col min="11021" max="11023" width="7.75" style="18"/>
    <col min="11024" max="11024" width="6.125" style="18" customWidth="1"/>
    <col min="11025" max="11264" width="7.75" style="18"/>
    <col min="11265" max="11265" width="2.625" style="18" customWidth="1"/>
    <col min="11266" max="11266" width="3.625" style="18" customWidth="1"/>
    <col min="11267" max="11267" width="47.25" style="18" customWidth="1"/>
    <col min="11268" max="11268" width="3.25" style="18" customWidth="1"/>
    <col min="11269" max="11269" width="79" style="18" customWidth="1"/>
    <col min="11270" max="11271" width="7.75" style="18"/>
    <col min="11272" max="11272" width="13.5" style="18" customWidth="1"/>
    <col min="11273" max="11273" width="4.5" style="18" customWidth="1"/>
    <col min="11274" max="11275" width="7.75" style="18"/>
    <col min="11276" max="11276" width="2.625" style="18" customWidth="1"/>
    <col min="11277" max="11279" width="7.75" style="18"/>
    <col min="11280" max="11280" width="6.125" style="18" customWidth="1"/>
    <col min="11281" max="11520" width="7.75" style="18"/>
    <col min="11521" max="11521" width="2.625" style="18" customWidth="1"/>
    <col min="11522" max="11522" width="3.625" style="18" customWidth="1"/>
    <col min="11523" max="11523" width="47.25" style="18" customWidth="1"/>
    <col min="11524" max="11524" width="3.25" style="18" customWidth="1"/>
    <col min="11525" max="11525" width="79" style="18" customWidth="1"/>
    <col min="11526" max="11527" width="7.75" style="18"/>
    <col min="11528" max="11528" width="13.5" style="18" customWidth="1"/>
    <col min="11529" max="11529" width="4.5" style="18" customWidth="1"/>
    <col min="11530" max="11531" width="7.75" style="18"/>
    <col min="11532" max="11532" width="2.625" style="18" customWidth="1"/>
    <col min="11533" max="11535" width="7.75" style="18"/>
    <col min="11536" max="11536" width="6.125" style="18" customWidth="1"/>
    <col min="11537" max="11776" width="7.75" style="18"/>
    <col min="11777" max="11777" width="2.625" style="18" customWidth="1"/>
    <col min="11778" max="11778" width="3.625" style="18" customWidth="1"/>
    <col min="11779" max="11779" width="47.25" style="18" customWidth="1"/>
    <col min="11780" max="11780" width="3.25" style="18" customWidth="1"/>
    <col min="11781" max="11781" width="79" style="18" customWidth="1"/>
    <col min="11782" max="11783" width="7.75" style="18"/>
    <col min="11784" max="11784" width="13.5" style="18" customWidth="1"/>
    <col min="11785" max="11785" width="4.5" style="18" customWidth="1"/>
    <col min="11786" max="11787" width="7.75" style="18"/>
    <col min="11788" max="11788" width="2.625" style="18" customWidth="1"/>
    <col min="11789" max="11791" width="7.75" style="18"/>
    <col min="11792" max="11792" width="6.125" style="18" customWidth="1"/>
    <col min="11793" max="12032" width="7.75" style="18"/>
    <col min="12033" max="12033" width="2.625" style="18" customWidth="1"/>
    <col min="12034" max="12034" width="3.625" style="18" customWidth="1"/>
    <col min="12035" max="12035" width="47.25" style="18" customWidth="1"/>
    <col min="12036" max="12036" width="3.25" style="18" customWidth="1"/>
    <col min="12037" max="12037" width="79" style="18" customWidth="1"/>
    <col min="12038" max="12039" width="7.75" style="18"/>
    <col min="12040" max="12040" width="13.5" style="18" customWidth="1"/>
    <col min="12041" max="12041" width="4.5" style="18" customWidth="1"/>
    <col min="12042" max="12043" width="7.75" style="18"/>
    <col min="12044" max="12044" width="2.625" style="18" customWidth="1"/>
    <col min="12045" max="12047" width="7.75" style="18"/>
    <col min="12048" max="12048" width="6.125" style="18" customWidth="1"/>
    <col min="12049" max="12288" width="7.75" style="18"/>
    <col min="12289" max="12289" width="2.625" style="18" customWidth="1"/>
    <col min="12290" max="12290" width="3.625" style="18" customWidth="1"/>
    <col min="12291" max="12291" width="47.25" style="18" customWidth="1"/>
    <col min="12292" max="12292" width="3.25" style="18" customWidth="1"/>
    <col min="12293" max="12293" width="79" style="18" customWidth="1"/>
    <col min="12294" max="12295" width="7.75" style="18"/>
    <col min="12296" max="12296" width="13.5" style="18" customWidth="1"/>
    <col min="12297" max="12297" width="4.5" style="18" customWidth="1"/>
    <col min="12298" max="12299" width="7.75" style="18"/>
    <col min="12300" max="12300" width="2.625" style="18" customWidth="1"/>
    <col min="12301" max="12303" width="7.75" style="18"/>
    <col min="12304" max="12304" width="6.125" style="18" customWidth="1"/>
    <col min="12305" max="12544" width="7.75" style="18"/>
    <col min="12545" max="12545" width="2.625" style="18" customWidth="1"/>
    <col min="12546" max="12546" width="3.625" style="18" customWidth="1"/>
    <col min="12547" max="12547" width="47.25" style="18" customWidth="1"/>
    <col min="12548" max="12548" width="3.25" style="18" customWidth="1"/>
    <col min="12549" max="12549" width="79" style="18" customWidth="1"/>
    <col min="12550" max="12551" width="7.75" style="18"/>
    <col min="12552" max="12552" width="13.5" style="18" customWidth="1"/>
    <col min="12553" max="12553" width="4.5" style="18" customWidth="1"/>
    <col min="12554" max="12555" width="7.75" style="18"/>
    <col min="12556" max="12556" width="2.625" style="18" customWidth="1"/>
    <col min="12557" max="12559" width="7.75" style="18"/>
    <col min="12560" max="12560" width="6.125" style="18" customWidth="1"/>
    <col min="12561" max="12800" width="7.75" style="18"/>
    <col min="12801" max="12801" width="2.625" style="18" customWidth="1"/>
    <col min="12802" max="12802" width="3.625" style="18" customWidth="1"/>
    <col min="12803" max="12803" width="47.25" style="18" customWidth="1"/>
    <col min="12804" max="12804" width="3.25" style="18" customWidth="1"/>
    <col min="12805" max="12805" width="79" style="18" customWidth="1"/>
    <col min="12806" max="12807" width="7.75" style="18"/>
    <col min="12808" max="12808" width="13.5" style="18" customWidth="1"/>
    <col min="12809" max="12809" width="4.5" style="18" customWidth="1"/>
    <col min="12810" max="12811" width="7.75" style="18"/>
    <col min="12812" max="12812" width="2.625" style="18" customWidth="1"/>
    <col min="12813" max="12815" width="7.75" style="18"/>
    <col min="12816" max="12816" width="6.125" style="18" customWidth="1"/>
    <col min="12817" max="13056" width="7.75" style="18"/>
    <col min="13057" max="13057" width="2.625" style="18" customWidth="1"/>
    <col min="13058" max="13058" width="3.625" style="18" customWidth="1"/>
    <col min="13059" max="13059" width="47.25" style="18" customWidth="1"/>
    <col min="13060" max="13060" width="3.25" style="18" customWidth="1"/>
    <col min="13061" max="13061" width="79" style="18" customWidth="1"/>
    <col min="13062" max="13063" width="7.75" style="18"/>
    <col min="13064" max="13064" width="13.5" style="18" customWidth="1"/>
    <col min="13065" max="13065" width="4.5" style="18" customWidth="1"/>
    <col min="13066" max="13067" width="7.75" style="18"/>
    <col min="13068" max="13068" width="2.625" style="18" customWidth="1"/>
    <col min="13069" max="13071" width="7.75" style="18"/>
    <col min="13072" max="13072" width="6.125" style="18" customWidth="1"/>
    <col min="13073" max="13312" width="7.75" style="18"/>
    <col min="13313" max="13313" width="2.625" style="18" customWidth="1"/>
    <col min="13314" max="13314" width="3.625" style="18" customWidth="1"/>
    <col min="13315" max="13315" width="47.25" style="18" customWidth="1"/>
    <col min="13316" max="13316" width="3.25" style="18" customWidth="1"/>
    <col min="13317" max="13317" width="79" style="18" customWidth="1"/>
    <col min="13318" max="13319" width="7.75" style="18"/>
    <col min="13320" max="13320" width="13.5" style="18" customWidth="1"/>
    <col min="13321" max="13321" width="4.5" style="18" customWidth="1"/>
    <col min="13322" max="13323" width="7.75" style="18"/>
    <col min="13324" max="13324" width="2.625" style="18" customWidth="1"/>
    <col min="13325" max="13327" width="7.75" style="18"/>
    <col min="13328" max="13328" width="6.125" style="18" customWidth="1"/>
    <col min="13329" max="13568" width="7.75" style="18"/>
    <col min="13569" max="13569" width="2.625" style="18" customWidth="1"/>
    <col min="13570" max="13570" width="3.625" style="18" customWidth="1"/>
    <col min="13571" max="13571" width="47.25" style="18" customWidth="1"/>
    <col min="13572" max="13572" width="3.25" style="18" customWidth="1"/>
    <col min="13573" max="13573" width="79" style="18" customWidth="1"/>
    <col min="13574" max="13575" width="7.75" style="18"/>
    <col min="13576" max="13576" width="13.5" style="18" customWidth="1"/>
    <col min="13577" max="13577" width="4.5" style="18" customWidth="1"/>
    <col min="13578" max="13579" width="7.75" style="18"/>
    <col min="13580" max="13580" width="2.625" style="18" customWidth="1"/>
    <col min="13581" max="13583" width="7.75" style="18"/>
    <col min="13584" max="13584" width="6.125" style="18" customWidth="1"/>
    <col min="13585" max="13824" width="7.75" style="18"/>
    <col min="13825" max="13825" width="2.625" style="18" customWidth="1"/>
    <col min="13826" max="13826" width="3.625" style="18" customWidth="1"/>
    <col min="13827" max="13827" width="47.25" style="18" customWidth="1"/>
    <col min="13828" max="13828" width="3.25" style="18" customWidth="1"/>
    <col min="13829" max="13829" width="79" style="18" customWidth="1"/>
    <col min="13830" max="13831" width="7.75" style="18"/>
    <col min="13832" max="13832" width="13.5" style="18" customWidth="1"/>
    <col min="13833" max="13833" width="4.5" style="18" customWidth="1"/>
    <col min="13834" max="13835" width="7.75" style="18"/>
    <col min="13836" max="13836" width="2.625" style="18" customWidth="1"/>
    <col min="13837" max="13839" width="7.75" style="18"/>
    <col min="13840" max="13840" width="6.125" style="18" customWidth="1"/>
    <col min="13841" max="14080" width="7.75" style="18"/>
    <col min="14081" max="14081" width="2.625" style="18" customWidth="1"/>
    <col min="14082" max="14082" width="3.625" style="18" customWidth="1"/>
    <col min="14083" max="14083" width="47.25" style="18" customWidth="1"/>
    <col min="14084" max="14084" width="3.25" style="18" customWidth="1"/>
    <col min="14085" max="14085" width="79" style="18" customWidth="1"/>
    <col min="14086" max="14087" width="7.75" style="18"/>
    <col min="14088" max="14088" width="13.5" style="18" customWidth="1"/>
    <col min="14089" max="14089" width="4.5" style="18" customWidth="1"/>
    <col min="14090" max="14091" width="7.75" style="18"/>
    <col min="14092" max="14092" width="2.625" style="18" customWidth="1"/>
    <col min="14093" max="14095" width="7.75" style="18"/>
    <col min="14096" max="14096" width="6.125" style="18" customWidth="1"/>
    <col min="14097" max="14336" width="7.75" style="18"/>
    <col min="14337" max="14337" width="2.625" style="18" customWidth="1"/>
    <col min="14338" max="14338" width="3.625" style="18" customWidth="1"/>
    <col min="14339" max="14339" width="47.25" style="18" customWidth="1"/>
    <col min="14340" max="14340" width="3.25" style="18" customWidth="1"/>
    <col min="14341" max="14341" width="79" style="18" customWidth="1"/>
    <col min="14342" max="14343" width="7.75" style="18"/>
    <col min="14344" max="14344" width="13.5" style="18" customWidth="1"/>
    <col min="14345" max="14345" width="4.5" style="18" customWidth="1"/>
    <col min="14346" max="14347" width="7.75" style="18"/>
    <col min="14348" max="14348" width="2.625" style="18" customWidth="1"/>
    <col min="14349" max="14351" width="7.75" style="18"/>
    <col min="14352" max="14352" width="6.125" style="18" customWidth="1"/>
    <col min="14353" max="14592" width="7.75" style="18"/>
    <col min="14593" max="14593" width="2.625" style="18" customWidth="1"/>
    <col min="14594" max="14594" width="3.625" style="18" customWidth="1"/>
    <col min="14595" max="14595" width="47.25" style="18" customWidth="1"/>
    <col min="14596" max="14596" width="3.25" style="18" customWidth="1"/>
    <col min="14597" max="14597" width="79" style="18" customWidth="1"/>
    <col min="14598" max="14599" width="7.75" style="18"/>
    <col min="14600" max="14600" width="13.5" style="18" customWidth="1"/>
    <col min="14601" max="14601" width="4.5" style="18" customWidth="1"/>
    <col min="14602" max="14603" width="7.75" style="18"/>
    <col min="14604" max="14604" width="2.625" style="18" customWidth="1"/>
    <col min="14605" max="14607" width="7.75" style="18"/>
    <col min="14608" max="14608" width="6.125" style="18" customWidth="1"/>
    <col min="14609" max="14848" width="7.75" style="18"/>
    <col min="14849" max="14849" width="2.625" style="18" customWidth="1"/>
    <col min="14850" max="14850" width="3.625" style="18" customWidth="1"/>
    <col min="14851" max="14851" width="47.25" style="18" customWidth="1"/>
    <col min="14852" max="14852" width="3.25" style="18" customWidth="1"/>
    <col min="14853" max="14853" width="79" style="18" customWidth="1"/>
    <col min="14854" max="14855" width="7.75" style="18"/>
    <col min="14856" max="14856" width="13.5" style="18" customWidth="1"/>
    <col min="14857" max="14857" width="4.5" style="18" customWidth="1"/>
    <col min="14858" max="14859" width="7.75" style="18"/>
    <col min="14860" max="14860" width="2.625" style="18" customWidth="1"/>
    <col min="14861" max="14863" width="7.75" style="18"/>
    <col min="14864" max="14864" width="6.125" style="18" customWidth="1"/>
    <col min="14865" max="15104" width="7.75" style="18"/>
    <col min="15105" max="15105" width="2.625" style="18" customWidth="1"/>
    <col min="15106" max="15106" width="3.625" style="18" customWidth="1"/>
    <col min="15107" max="15107" width="47.25" style="18" customWidth="1"/>
    <col min="15108" max="15108" width="3.25" style="18" customWidth="1"/>
    <col min="15109" max="15109" width="79" style="18" customWidth="1"/>
    <col min="15110" max="15111" width="7.75" style="18"/>
    <col min="15112" max="15112" width="13.5" style="18" customWidth="1"/>
    <col min="15113" max="15113" width="4.5" style="18" customWidth="1"/>
    <col min="15114" max="15115" width="7.75" style="18"/>
    <col min="15116" max="15116" width="2.625" style="18" customWidth="1"/>
    <col min="15117" max="15119" width="7.75" style="18"/>
    <col min="15120" max="15120" width="6.125" style="18" customWidth="1"/>
    <col min="15121" max="15360" width="7.75" style="18"/>
    <col min="15361" max="15361" width="2.625" style="18" customWidth="1"/>
    <col min="15362" max="15362" width="3.625" style="18" customWidth="1"/>
    <col min="15363" max="15363" width="47.25" style="18" customWidth="1"/>
    <col min="15364" max="15364" width="3.25" style="18" customWidth="1"/>
    <col min="15365" max="15365" width="79" style="18" customWidth="1"/>
    <col min="15366" max="15367" width="7.75" style="18"/>
    <col min="15368" max="15368" width="13.5" style="18" customWidth="1"/>
    <col min="15369" max="15369" width="4.5" style="18" customWidth="1"/>
    <col min="15370" max="15371" width="7.75" style="18"/>
    <col min="15372" max="15372" width="2.625" style="18" customWidth="1"/>
    <col min="15373" max="15375" width="7.75" style="18"/>
    <col min="15376" max="15376" width="6.125" style="18" customWidth="1"/>
    <col min="15377" max="15616" width="7.75" style="18"/>
    <col min="15617" max="15617" width="2.625" style="18" customWidth="1"/>
    <col min="15618" max="15618" width="3.625" style="18" customWidth="1"/>
    <col min="15619" max="15619" width="47.25" style="18" customWidth="1"/>
    <col min="15620" max="15620" width="3.25" style="18" customWidth="1"/>
    <col min="15621" max="15621" width="79" style="18" customWidth="1"/>
    <col min="15622" max="15623" width="7.75" style="18"/>
    <col min="15624" max="15624" width="13.5" style="18" customWidth="1"/>
    <col min="15625" max="15625" width="4.5" style="18" customWidth="1"/>
    <col min="15626" max="15627" width="7.75" style="18"/>
    <col min="15628" max="15628" width="2.625" style="18" customWidth="1"/>
    <col min="15629" max="15631" width="7.75" style="18"/>
    <col min="15632" max="15632" width="6.125" style="18" customWidth="1"/>
    <col min="15633" max="15872" width="7.75" style="18"/>
    <col min="15873" max="15873" width="2.625" style="18" customWidth="1"/>
    <col min="15874" max="15874" width="3.625" style="18" customWidth="1"/>
    <col min="15875" max="15875" width="47.25" style="18" customWidth="1"/>
    <col min="15876" max="15876" width="3.25" style="18" customWidth="1"/>
    <col min="15877" max="15877" width="79" style="18" customWidth="1"/>
    <col min="15878" max="15879" width="7.75" style="18"/>
    <col min="15880" max="15880" width="13.5" style="18" customWidth="1"/>
    <col min="15881" max="15881" width="4.5" style="18" customWidth="1"/>
    <col min="15882" max="15883" width="7.75" style="18"/>
    <col min="15884" max="15884" width="2.625" style="18" customWidth="1"/>
    <col min="15885" max="15887" width="7.75" style="18"/>
    <col min="15888" max="15888" width="6.125" style="18" customWidth="1"/>
    <col min="15889" max="16128" width="7.75" style="18"/>
    <col min="16129" max="16129" width="2.625" style="18" customWidth="1"/>
    <col min="16130" max="16130" width="3.625" style="18" customWidth="1"/>
    <col min="16131" max="16131" width="47.25" style="18" customWidth="1"/>
    <col min="16132" max="16132" width="3.25" style="18" customWidth="1"/>
    <col min="16133" max="16133" width="79" style="18" customWidth="1"/>
    <col min="16134" max="16135" width="7.75" style="18"/>
    <col min="16136" max="16136" width="13.5" style="18" customWidth="1"/>
    <col min="16137" max="16137" width="4.5" style="18" customWidth="1"/>
    <col min="16138" max="16139" width="7.75" style="18"/>
    <col min="16140" max="16140" width="2.625" style="18" customWidth="1"/>
    <col min="16141" max="16143" width="7.75" style="18"/>
    <col min="16144" max="16144" width="6.125" style="18" customWidth="1"/>
    <col min="16145" max="16384" width="7.75" style="18"/>
  </cols>
  <sheetData>
    <row r="1" ht="30" customHeight="1"/>
    <row r="2" ht="9.9499999999999993" customHeight="1"/>
    <row r="3" ht="25.5" customHeight="1"/>
    <row r="4" ht="21" customHeight="1"/>
    <row r="6" ht="17.100000000000001" customHeight="1"/>
    <row r="7" ht="17.100000000000001" customHeight="1"/>
    <row r="8" ht="17.100000000000001" customHeight="1"/>
    <row r="9" ht="17.100000000000001" customHeight="1"/>
    <row r="10" ht="17.100000000000001" customHeight="1"/>
    <row r="11" ht="17.100000000000001" customHeight="1"/>
    <row r="12" ht="17.100000000000001" customHeight="1"/>
    <row r="13" ht="17.100000000000001" customHeight="1"/>
    <row r="14" ht="17.100000000000001" customHeight="1"/>
    <row r="15" ht="17.100000000000001" customHeight="1"/>
    <row r="16" ht="17.100000000000001" customHeight="1"/>
    <row r="17" ht="17.100000000000001" customHeight="1"/>
    <row r="18" ht="17.100000000000001" customHeight="1"/>
    <row r="19" ht="17.100000000000001" customHeight="1"/>
    <row r="40" spans="2:3">
      <c r="B40" s="19"/>
      <c r="C40" s="19"/>
    </row>
  </sheetData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C23884-4850-4CAB-B01E-3FCB826C1019}">
  <dimension ref="A1:K83"/>
  <sheetViews>
    <sheetView tabSelected="1" workbookViewId="0">
      <pane xSplit="6" ySplit="2" topLeftCell="G3" activePane="bottomRight" state="frozenSplit"/>
      <selection pane="topRight" activeCell="G1" sqref="G1"/>
      <selection pane="bottomLeft" activeCell="A3" sqref="A3"/>
      <selection pane="bottomRight"/>
    </sheetView>
  </sheetViews>
  <sheetFormatPr defaultRowHeight="14.25"/>
  <cols>
    <col min="1" max="5" width="2.875" style="16" customWidth="1"/>
    <col min="6" max="6" width="22.25" style="16" customWidth="1"/>
    <col min="7" max="7" width="9.625" style="17" bestFit="1" customWidth="1"/>
    <col min="8" max="8" width="2.125" style="17" customWidth="1"/>
    <col min="9" max="9" width="10.375" style="17" bestFit="1" customWidth="1"/>
    <col min="10" max="10" width="2.125" style="17" customWidth="1"/>
    <col min="11" max="11" width="10.875" style="17" bestFit="1" customWidth="1"/>
  </cols>
  <sheetData>
    <row r="1" spans="1:11" ht="15" thickBot="1">
      <c r="A1" s="1"/>
      <c r="B1" s="1"/>
      <c r="C1" s="1"/>
      <c r="D1" s="1"/>
      <c r="E1" s="1"/>
      <c r="F1" s="1"/>
      <c r="G1" s="3"/>
      <c r="H1" s="2"/>
      <c r="I1" s="3"/>
      <c r="J1" s="2"/>
      <c r="K1" s="3"/>
    </row>
    <row r="2" spans="1:11" s="15" customFormat="1" ht="15.75" thickTop="1" thickBot="1">
      <c r="A2" s="12"/>
      <c r="B2" s="12"/>
      <c r="C2" s="12"/>
      <c r="D2" s="12"/>
      <c r="E2" s="12"/>
      <c r="F2" s="12"/>
      <c r="G2" s="13" t="s">
        <v>0</v>
      </c>
      <c r="H2" s="14"/>
      <c r="I2" s="13" t="s">
        <v>1</v>
      </c>
      <c r="J2" s="14"/>
      <c r="K2" s="13" t="s">
        <v>2</v>
      </c>
    </row>
    <row r="3" spans="1:11" ht="15" thickTop="1">
      <c r="A3" s="1"/>
      <c r="B3" s="1" t="s">
        <v>3</v>
      </c>
      <c r="C3" s="1"/>
      <c r="D3" s="1"/>
      <c r="E3" s="1"/>
      <c r="F3" s="1"/>
      <c r="G3" s="4"/>
      <c r="H3" s="5"/>
      <c r="I3" s="4"/>
      <c r="J3" s="5"/>
      <c r="K3" s="4"/>
    </row>
    <row r="4" spans="1:11">
      <c r="A4" s="1"/>
      <c r="B4" s="1"/>
      <c r="C4" s="1"/>
      <c r="D4" s="1" t="s">
        <v>4</v>
      </c>
      <c r="E4" s="1"/>
      <c r="F4" s="1"/>
      <c r="G4" s="4"/>
      <c r="H4" s="5"/>
      <c r="I4" s="4"/>
      <c r="J4" s="5"/>
      <c r="K4" s="4"/>
    </row>
    <row r="5" spans="1:11">
      <c r="A5" s="1"/>
      <c r="B5" s="1"/>
      <c r="C5" s="1"/>
      <c r="D5" s="1"/>
      <c r="E5" s="1" t="s">
        <v>5</v>
      </c>
      <c r="F5" s="1"/>
      <c r="G5" s="4">
        <v>0</v>
      </c>
      <c r="H5" s="5"/>
      <c r="I5" s="4">
        <v>3907.52</v>
      </c>
      <c r="J5" s="5"/>
      <c r="K5" s="4">
        <f>ROUND((G5-I5),5)</f>
        <v>-3907.52</v>
      </c>
    </row>
    <row r="6" spans="1:11" ht="15" thickBot="1">
      <c r="A6" s="1"/>
      <c r="B6" s="1"/>
      <c r="C6" s="1"/>
      <c r="D6" s="1"/>
      <c r="E6" s="1" t="s">
        <v>6</v>
      </c>
      <c r="F6" s="1"/>
      <c r="G6" s="6">
        <v>0</v>
      </c>
      <c r="H6" s="5"/>
      <c r="I6" s="6">
        <v>3117100.77</v>
      </c>
      <c r="J6" s="5"/>
      <c r="K6" s="6">
        <f>ROUND((G6-I6),5)</f>
        <v>-3117100.77</v>
      </c>
    </row>
    <row r="7" spans="1:11">
      <c r="A7" s="1"/>
      <c r="B7" s="1"/>
      <c r="C7" s="1"/>
      <c r="D7" s="1" t="s">
        <v>7</v>
      </c>
      <c r="E7" s="1"/>
      <c r="F7" s="1"/>
      <c r="G7" s="4">
        <f>ROUND(SUM(G4:G6),5)</f>
        <v>0</v>
      </c>
      <c r="H7" s="5"/>
      <c r="I7" s="4">
        <f>ROUND(SUM(I4:I6),5)</f>
        <v>3121008.29</v>
      </c>
      <c r="J7" s="5"/>
      <c r="K7" s="4">
        <f>ROUND((G7-I7),5)</f>
        <v>-3121008.29</v>
      </c>
    </row>
    <row r="8" spans="1:11">
      <c r="A8" s="1"/>
      <c r="B8" s="1"/>
      <c r="C8" s="1"/>
      <c r="D8" s="1" t="s">
        <v>8</v>
      </c>
      <c r="E8" s="1"/>
      <c r="F8" s="1"/>
      <c r="G8" s="4"/>
      <c r="H8" s="5"/>
      <c r="I8" s="4"/>
      <c r="J8" s="5"/>
      <c r="K8" s="4"/>
    </row>
    <row r="9" spans="1:11">
      <c r="A9" s="1"/>
      <c r="B9" s="1"/>
      <c r="C9" s="1"/>
      <c r="D9" s="1"/>
      <c r="E9" s="1" t="s">
        <v>9</v>
      </c>
      <c r="F9" s="1"/>
      <c r="G9" s="4">
        <v>0</v>
      </c>
      <c r="H9" s="5"/>
      <c r="I9" s="4">
        <v>59369.5</v>
      </c>
      <c r="J9" s="5"/>
      <c r="K9" s="4">
        <f>ROUND((G9-I9),5)</f>
        <v>-59369.5</v>
      </c>
    </row>
    <row r="10" spans="1:11">
      <c r="A10" s="1"/>
      <c r="B10" s="1"/>
      <c r="C10" s="1"/>
      <c r="D10" s="1"/>
      <c r="E10" s="1" t="s">
        <v>10</v>
      </c>
      <c r="F10" s="1"/>
      <c r="G10" s="4">
        <v>0</v>
      </c>
      <c r="H10" s="5"/>
      <c r="I10" s="4">
        <v>206328.72</v>
      </c>
      <c r="J10" s="5"/>
      <c r="K10" s="4">
        <f>ROUND((G10-I10),5)</f>
        <v>-206328.72</v>
      </c>
    </row>
    <row r="11" spans="1:11">
      <c r="A11" s="1"/>
      <c r="B11" s="1"/>
      <c r="C11" s="1"/>
      <c r="D11" s="1"/>
      <c r="E11" s="1" t="s">
        <v>11</v>
      </c>
      <c r="F11" s="1"/>
      <c r="G11" s="4">
        <v>0</v>
      </c>
      <c r="H11" s="5"/>
      <c r="I11" s="4">
        <v>1635340.65</v>
      </c>
      <c r="J11" s="5"/>
      <c r="K11" s="4">
        <f>ROUND((G11-I11),5)</f>
        <v>-1635340.65</v>
      </c>
    </row>
    <row r="12" spans="1:11" ht="15" thickBot="1">
      <c r="A12" s="1"/>
      <c r="B12" s="1"/>
      <c r="C12" s="1"/>
      <c r="D12" s="1"/>
      <c r="E12" s="1" t="s">
        <v>12</v>
      </c>
      <c r="F12" s="1"/>
      <c r="G12" s="7">
        <v>0</v>
      </c>
      <c r="H12" s="5"/>
      <c r="I12" s="7">
        <v>195243.33</v>
      </c>
      <c r="J12" s="5"/>
      <c r="K12" s="7">
        <f>ROUND((G12-I12),5)</f>
        <v>-195243.33</v>
      </c>
    </row>
    <row r="13" spans="1:11" ht="15" thickBot="1">
      <c r="A13" s="1"/>
      <c r="B13" s="1"/>
      <c r="C13" s="1"/>
      <c r="D13" s="1" t="s">
        <v>13</v>
      </c>
      <c r="E13" s="1"/>
      <c r="F13" s="1"/>
      <c r="G13" s="8">
        <f>ROUND(SUM(G8:G12),5)</f>
        <v>0</v>
      </c>
      <c r="H13" s="5"/>
      <c r="I13" s="8">
        <f>ROUND(SUM(I8:I12),5)</f>
        <v>2096282.2</v>
      </c>
      <c r="J13" s="5"/>
      <c r="K13" s="8">
        <f>ROUND((G13-I13),5)</f>
        <v>-2096282.2</v>
      </c>
    </row>
    <row r="14" spans="1:11">
      <c r="A14" s="1"/>
      <c r="B14" s="1"/>
      <c r="C14" s="1" t="s">
        <v>14</v>
      </c>
      <c r="D14" s="1"/>
      <c r="E14" s="1"/>
      <c r="F14" s="1"/>
      <c r="G14" s="4">
        <f>ROUND(G7-G13,5)</f>
        <v>0</v>
      </c>
      <c r="H14" s="5"/>
      <c r="I14" s="4">
        <f>ROUND(I7-I13,5)</f>
        <v>1024726.09</v>
      </c>
      <c r="J14" s="5"/>
      <c r="K14" s="4">
        <f>ROUND((G14-I14),5)</f>
        <v>-1024726.09</v>
      </c>
    </row>
    <row r="15" spans="1:11">
      <c r="A15" s="1"/>
      <c r="B15" s="1"/>
      <c r="C15" s="1"/>
      <c r="D15" s="1" t="s">
        <v>15</v>
      </c>
      <c r="E15" s="1"/>
      <c r="F15" s="1"/>
      <c r="G15" s="4"/>
      <c r="H15" s="5"/>
      <c r="I15" s="4"/>
      <c r="J15" s="5"/>
      <c r="K15" s="4"/>
    </row>
    <row r="16" spans="1:11">
      <c r="A16" s="1"/>
      <c r="B16" s="1"/>
      <c r="C16" s="1"/>
      <c r="D16" s="1"/>
      <c r="E16" s="1" t="s">
        <v>16</v>
      </c>
      <c r="F16" s="1"/>
      <c r="G16" s="4">
        <v>0</v>
      </c>
      <c r="H16" s="5"/>
      <c r="I16" s="4">
        <v>2184.7199999999998</v>
      </c>
      <c r="J16" s="5"/>
      <c r="K16" s="4">
        <f>ROUND((G16-I16),5)</f>
        <v>-2184.7199999999998</v>
      </c>
    </row>
    <row r="17" spans="1:11">
      <c r="A17" s="1"/>
      <c r="B17" s="1"/>
      <c r="C17" s="1"/>
      <c r="D17" s="1"/>
      <c r="E17" s="1" t="s">
        <v>17</v>
      </c>
      <c r="F17" s="1"/>
      <c r="G17" s="4">
        <v>0</v>
      </c>
      <c r="H17" s="5"/>
      <c r="I17" s="4">
        <v>803.45</v>
      </c>
      <c r="J17" s="5"/>
      <c r="K17" s="4">
        <f>ROUND((G17-I17),5)</f>
        <v>-803.45</v>
      </c>
    </row>
    <row r="18" spans="1:11">
      <c r="A18" s="1"/>
      <c r="B18" s="1"/>
      <c r="C18" s="1"/>
      <c r="D18" s="1"/>
      <c r="E18" s="1" t="s">
        <v>18</v>
      </c>
      <c r="F18" s="1"/>
      <c r="G18" s="4">
        <v>0</v>
      </c>
      <c r="H18" s="5"/>
      <c r="I18" s="4">
        <v>1400.9</v>
      </c>
      <c r="J18" s="5"/>
      <c r="K18" s="4">
        <f>ROUND((G18-I18),5)</f>
        <v>-1400.9</v>
      </c>
    </row>
    <row r="19" spans="1:11">
      <c r="A19" s="1"/>
      <c r="B19" s="1"/>
      <c r="C19" s="1"/>
      <c r="D19" s="1"/>
      <c r="E19" s="1" t="s">
        <v>19</v>
      </c>
      <c r="F19" s="1"/>
      <c r="G19" s="4">
        <v>0</v>
      </c>
      <c r="H19" s="5"/>
      <c r="I19" s="4">
        <v>1444.66</v>
      </c>
      <c r="J19" s="5"/>
      <c r="K19" s="4">
        <f>ROUND((G19-I19),5)</f>
        <v>-1444.66</v>
      </c>
    </row>
    <row r="20" spans="1:11">
      <c r="A20" s="1"/>
      <c r="B20" s="1"/>
      <c r="C20" s="1"/>
      <c r="D20" s="1"/>
      <c r="E20" s="1" t="s">
        <v>20</v>
      </c>
      <c r="F20" s="1"/>
      <c r="G20" s="4">
        <v>0</v>
      </c>
      <c r="H20" s="5"/>
      <c r="I20" s="4">
        <v>449</v>
      </c>
      <c r="J20" s="5"/>
      <c r="K20" s="4">
        <f>ROUND((G20-I20),5)</f>
        <v>-449</v>
      </c>
    </row>
    <row r="21" spans="1:11">
      <c r="A21" s="1"/>
      <c r="B21" s="1"/>
      <c r="C21" s="1"/>
      <c r="D21" s="1"/>
      <c r="E21" s="1" t="s">
        <v>21</v>
      </c>
      <c r="F21" s="1"/>
      <c r="G21" s="4">
        <v>0</v>
      </c>
      <c r="H21" s="5"/>
      <c r="I21" s="4">
        <v>35.28</v>
      </c>
      <c r="J21" s="5"/>
      <c r="K21" s="4">
        <f>ROUND((G21-I21),5)</f>
        <v>-35.28</v>
      </c>
    </row>
    <row r="22" spans="1:11">
      <c r="A22" s="1"/>
      <c r="B22" s="1"/>
      <c r="C22" s="1"/>
      <c r="D22" s="1"/>
      <c r="E22" s="1" t="s">
        <v>22</v>
      </c>
      <c r="F22" s="1"/>
      <c r="G22" s="4">
        <v>0</v>
      </c>
      <c r="H22" s="5"/>
      <c r="I22" s="4">
        <v>66.849999999999994</v>
      </c>
      <c r="J22" s="5"/>
      <c r="K22" s="4">
        <f>ROUND((G22-I22),5)</f>
        <v>-66.849999999999994</v>
      </c>
    </row>
    <row r="23" spans="1:11">
      <c r="A23" s="1"/>
      <c r="B23" s="1"/>
      <c r="C23" s="1"/>
      <c r="D23" s="1"/>
      <c r="E23" s="1" t="s">
        <v>23</v>
      </c>
      <c r="F23" s="1"/>
      <c r="G23" s="4">
        <v>0</v>
      </c>
      <c r="H23" s="5"/>
      <c r="I23" s="4">
        <v>563.86</v>
      </c>
      <c r="J23" s="5"/>
      <c r="K23" s="4">
        <f>ROUND((G23-I23),5)</f>
        <v>-563.86</v>
      </c>
    </row>
    <row r="24" spans="1:11">
      <c r="A24" s="1"/>
      <c r="B24" s="1"/>
      <c r="C24" s="1"/>
      <c r="D24" s="1"/>
      <c r="E24" s="1" t="s">
        <v>24</v>
      </c>
      <c r="F24" s="1"/>
      <c r="G24" s="4">
        <v>0</v>
      </c>
      <c r="H24" s="5"/>
      <c r="I24" s="4">
        <v>3543.69</v>
      </c>
      <c r="J24" s="5"/>
      <c r="K24" s="4">
        <f>ROUND((G24-I24),5)</f>
        <v>-3543.69</v>
      </c>
    </row>
    <row r="25" spans="1:11">
      <c r="A25" s="1"/>
      <c r="B25" s="1"/>
      <c r="C25" s="1"/>
      <c r="D25" s="1"/>
      <c r="E25" s="1" t="s">
        <v>25</v>
      </c>
      <c r="F25" s="1"/>
      <c r="G25" s="4">
        <v>0</v>
      </c>
      <c r="H25" s="5"/>
      <c r="I25" s="4">
        <v>10</v>
      </c>
      <c r="J25" s="5"/>
      <c r="K25" s="4">
        <f>ROUND((G25-I25),5)</f>
        <v>-10</v>
      </c>
    </row>
    <row r="26" spans="1:11">
      <c r="A26" s="1"/>
      <c r="B26" s="1"/>
      <c r="C26" s="1"/>
      <c r="D26" s="1"/>
      <c r="E26" s="1" t="s">
        <v>26</v>
      </c>
      <c r="F26" s="1"/>
      <c r="G26" s="4">
        <v>0</v>
      </c>
      <c r="H26" s="5"/>
      <c r="I26" s="4">
        <v>232</v>
      </c>
      <c r="J26" s="5"/>
      <c r="K26" s="4">
        <f>ROUND((G26-I26),5)</f>
        <v>-232</v>
      </c>
    </row>
    <row r="27" spans="1:11">
      <c r="A27" s="1"/>
      <c r="B27" s="1"/>
      <c r="C27" s="1"/>
      <c r="D27" s="1"/>
      <c r="E27" s="1" t="s">
        <v>27</v>
      </c>
      <c r="F27" s="1"/>
      <c r="G27" s="4">
        <v>0</v>
      </c>
      <c r="H27" s="5"/>
      <c r="I27" s="4">
        <v>1070.8399999999999</v>
      </c>
      <c r="J27" s="5"/>
      <c r="K27" s="4">
        <f>ROUND((G27-I27),5)</f>
        <v>-1070.8399999999999</v>
      </c>
    </row>
    <row r="28" spans="1:11">
      <c r="A28" s="1"/>
      <c r="B28" s="1"/>
      <c r="C28" s="1"/>
      <c r="D28" s="1"/>
      <c r="E28" s="1" t="s">
        <v>28</v>
      </c>
      <c r="F28" s="1"/>
      <c r="G28" s="4">
        <v>0</v>
      </c>
      <c r="H28" s="5"/>
      <c r="I28" s="4">
        <v>13835.83</v>
      </c>
      <c r="J28" s="5"/>
      <c r="K28" s="4">
        <f>ROUND((G28-I28),5)</f>
        <v>-13835.83</v>
      </c>
    </row>
    <row r="29" spans="1:11">
      <c r="A29" s="1"/>
      <c r="B29" s="1"/>
      <c r="C29" s="1"/>
      <c r="D29" s="1"/>
      <c r="E29" s="1" t="s">
        <v>29</v>
      </c>
      <c r="F29" s="1"/>
      <c r="G29" s="4"/>
      <c r="H29" s="5"/>
      <c r="I29" s="4"/>
      <c r="J29" s="5"/>
      <c r="K29" s="4"/>
    </row>
    <row r="30" spans="1:11">
      <c r="A30" s="1"/>
      <c r="B30" s="1"/>
      <c r="C30" s="1"/>
      <c r="D30" s="1"/>
      <c r="E30" s="1"/>
      <c r="F30" s="1" t="s">
        <v>30</v>
      </c>
      <c r="G30" s="4">
        <v>0</v>
      </c>
      <c r="H30" s="5"/>
      <c r="I30" s="4">
        <v>0</v>
      </c>
      <c r="J30" s="5"/>
      <c r="K30" s="4">
        <f>ROUND((G30-I30),5)</f>
        <v>0</v>
      </c>
    </row>
    <row r="31" spans="1:11">
      <c r="A31" s="1"/>
      <c r="B31" s="1"/>
      <c r="C31" s="1"/>
      <c r="D31" s="1"/>
      <c r="E31" s="1"/>
      <c r="F31" s="1" t="s">
        <v>31</v>
      </c>
      <c r="G31" s="4">
        <v>0</v>
      </c>
      <c r="H31" s="5"/>
      <c r="I31" s="4">
        <v>4247.3500000000004</v>
      </c>
      <c r="J31" s="5"/>
      <c r="K31" s="4">
        <f>ROUND((G31-I31),5)</f>
        <v>-4247.3500000000004</v>
      </c>
    </row>
    <row r="32" spans="1:11">
      <c r="A32" s="1"/>
      <c r="B32" s="1"/>
      <c r="C32" s="1"/>
      <c r="D32" s="1"/>
      <c r="E32" s="1"/>
      <c r="F32" s="1" t="s">
        <v>32</v>
      </c>
      <c r="G32" s="4">
        <v>0</v>
      </c>
      <c r="H32" s="5"/>
      <c r="I32" s="4">
        <v>1144.5999999999999</v>
      </c>
      <c r="J32" s="5"/>
      <c r="K32" s="4">
        <f>ROUND((G32-I32),5)</f>
        <v>-1144.5999999999999</v>
      </c>
    </row>
    <row r="33" spans="1:11" ht="15" thickBot="1">
      <c r="A33" s="1"/>
      <c r="B33" s="1"/>
      <c r="C33" s="1"/>
      <c r="D33" s="1"/>
      <c r="E33" s="1"/>
      <c r="F33" s="1" t="s">
        <v>33</v>
      </c>
      <c r="G33" s="6">
        <v>0</v>
      </c>
      <c r="H33" s="5"/>
      <c r="I33" s="6">
        <v>806.11</v>
      </c>
      <c r="J33" s="5"/>
      <c r="K33" s="6">
        <f>ROUND((G33-I33),5)</f>
        <v>-806.11</v>
      </c>
    </row>
    <row r="34" spans="1:11">
      <c r="A34" s="1"/>
      <c r="B34" s="1"/>
      <c r="C34" s="1"/>
      <c r="D34" s="1"/>
      <c r="E34" s="1" t="s">
        <v>34</v>
      </c>
      <c r="F34" s="1"/>
      <c r="G34" s="4">
        <f>ROUND(SUM(G29:G33),5)</f>
        <v>0</v>
      </c>
      <c r="H34" s="5"/>
      <c r="I34" s="4">
        <f>ROUND(SUM(I29:I33),5)</f>
        <v>6198.06</v>
      </c>
      <c r="J34" s="5"/>
      <c r="K34" s="4">
        <f>ROUND((G34-I34),5)</f>
        <v>-6198.06</v>
      </c>
    </row>
    <row r="35" spans="1:11">
      <c r="A35" s="1"/>
      <c r="B35" s="1"/>
      <c r="C35" s="1"/>
      <c r="D35" s="1"/>
      <c r="E35" s="1" t="s">
        <v>35</v>
      </c>
      <c r="F35" s="1"/>
      <c r="G35" s="4">
        <v>0</v>
      </c>
      <c r="H35" s="5"/>
      <c r="I35" s="4">
        <v>4735.83</v>
      </c>
      <c r="J35" s="5"/>
      <c r="K35" s="4">
        <f>ROUND((G35-I35),5)</f>
        <v>-4735.83</v>
      </c>
    </row>
    <row r="36" spans="1:11">
      <c r="A36" s="1"/>
      <c r="B36" s="1"/>
      <c r="C36" s="1"/>
      <c r="D36" s="1"/>
      <c r="E36" s="1" t="s">
        <v>36</v>
      </c>
      <c r="F36" s="1"/>
      <c r="G36" s="4">
        <v>0</v>
      </c>
      <c r="H36" s="5"/>
      <c r="I36" s="4">
        <v>1583</v>
      </c>
      <c r="J36" s="5"/>
      <c r="K36" s="4">
        <f>ROUND((G36-I36),5)</f>
        <v>-1583</v>
      </c>
    </row>
    <row r="37" spans="1:11">
      <c r="A37" s="1"/>
      <c r="B37" s="1"/>
      <c r="C37" s="1"/>
      <c r="D37" s="1"/>
      <c r="E37" s="1" t="s">
        <v>37</v>
      </c>
      <c r="F37" s="1"/>
      <c r="G37" s="4">
        <v>0</v>
      </c>
      <c r="H37" s="5"/>
      <c r="I37" s="4">
        <v>5918.12</v>
      </c>
      <c r="J37" s="5"/>
      <c r="K37" s="4">
        <f>ROUND((G37-I37),5)</f>
        <v>-5918.12</v>
      </c>
    </row>
    <row r="38" spans="1:11">
      <c r="A38" s="1"/>
      <c r="B38" s="1"/>
      <c r="C38" s="1"/>
      <c r="D38" s="1"/>
      <c r="E38" s="1" t="s">
        <v>38</v>
      </c>
      <c r="F38" s="1"/>
      <c r="G38" s="4">
        <v>0</v>
      </c>
      <c r="H38" s="5"/>
      <c r="I38" s="4">
        <v>404.25</v>
      </c>
      <c r="J38" s="5"/>
      <c r="K38" s="4">
        <f>ROUND((G38-I38),5)</f>
        <v>-404.25</v>
      </c>
    </row>
    <row r="39" spans="1:11">
      <c r="A39" s="1"/>
      <c r="B39" s="1"/>
      <c r="C39" s="1"/>
      <c r="D39" s="1"/>
      <c r="E39" s="1" t="s">
        <v>39</v>
      </c>
      <c r="F39" s="1"/>
      <c r="G39" s="4">
        <v>0</v>
      </c>
      <c r="H39" s="5"/>
      <c r="I39" s="4">
        <v>304.07</v>
      </c>
      <c r="J39" s="5"/>
      <c r="K39" s="4">
        <f>ROUND((G39-I39),5)</f>
        <v>-304.07</v>
      </c>
    </row>
    <row r="40" spans="1:11">
      <c r="A40" s="1"/>
      <c r="B40" s="1"/>
      <c r="C40" s="1"/>
      <c r="D40" s="1"/>
      <c r="E40" s="1" t="s">
        <v>40</v>
      </c>
      <c r="F40" s="1"/>
      <c r="G40" s="4">
        <v>0</v>
      </c>
      <c r="H40" s="5"/>
      <c r="I40" s="4">
        <v>10979.66</v>
      </c>
      <c r="J40" s="5"/>
      <c r="K40" s="4">
        <f>ROUND((G40-I40),5)</f>
        <v>-10979.66</v>
      </c>
    </row>
    <row r="41" spans="1:11">
      <c r="A41" s="1"/>
      <c r="B41" s="1"/>
      <c r="C41" s="1"/>
      <c r="D41" s="1"/>
      <c r="E41" s="1" t="s">
        <v>41</v>
      </c>
      <c r="F41" s="1"/>
      <c r="G41" s="4"/>
      <c r="H41" s="5"/>
      <c r="I41" s="4"/>
      <c r="J41" s="5"/>
      <c r="K41" s="4"/>
    </row>
    <row r="42" spans="1:11">
      <c r="A42" s="1"/>
      <c r="B42" s="1"/>
      <c r="C42" s="1"/>
      <c r="D42" s="1"/>
      <c r="E42" s="1"/>
      <c r="F42" s="1" t="s">
        <v>42</v>
      </c>
      <c r="G42" s="4">
        <v>0</v>
      </c>
      <c r="H42" s="5"/>
      <c r="I42" s="4">
        <v>1390.23</v>
      </c>
      <c r="J42" s="5"/>
      <c r="K42" s="4">
        <f>ROUND((G42-I42),5)</f>
        <v>-1390.23</v>
      </c>
    </row>
    <row r="43" spans="1:11" ht="15" thickBot="1">
      <c r="A43" s="1"/>
      <c r="B43" s="1"/>
      <c r="C43" s="1"/>
      <c r="D43" s="1"/>
      <c r="E43" s="1"/>
      <c r="F43" s="1" t="s">
        <v>43</v>
      </c>
      <c r="G43" s="6">
        <v>0</v>
      </c>
      <c r="H43" s="5"/>
      <c r="I43" s="6">
        <v>993.54</v>
      </c>
      <c r="J43" s="5"/>
      <c r="K43" s="6">
        <f>ROUND((G43-I43),5)</f>
        <v>-993.54</v>
      </c>
    </row>
    <row r="44" spans="1:11">
      <c r="A44" s="1"/>
      <c r="B44" s="1"/>
      <c r="C44" s="1"/>
      <c r="D44" s="1"/>
      <c r="E44" s="1" t="s">
        <v>44</v>
      </c>
      <c r="F44" s="1"/>
      <c r="G44" s="4">
        <f>ROUND(SUM(G41:G43),5)</f>
        <v>0</v>
      </c>
      <c r="H44" s="5"/>
      <c r="I44" s="4">
        <f>ROUND(SUM(I41:I43),5)</f>
        <v>2383.77</v>
      </c>
      <c r="J44" s="5"/>
      <c r="K44" s="4">
        <f>ROUND((G44-I44),5)</f>
        <v>-2383.77</v>
      </c>
    </row>
    <row r="45" spans="1:11">
      <c r="A45" s="1"/>
      <c r="B45" s="1"/>
      <c r="C45" s="1"/>
      <c r="D45" s="1"/>
      <c r="E45" s="1" t="s">
        <v>45</v>
      </c>
      <c r="F45" s="1"/>
      <c r="G45" s="4">
        <v>0</v>
      </c>
      <c r="H45" s="5"/>
      <c r="I45" s="4">
        <v>8053.79</v>
      </c>
      <c r="J45" s="5"/>
      <c r="K45" s="4">
        <f>ROUND((G45-I45),5)</f>
        <v>-8053.79</v>
      </c>
    </row>
    <row r="46" spans="1:11">
      <c r="A46" s="1"/>
      <c r="B46" s="1"/>
      <c r="C46" s="1"/>
      <c r="D46" s="1"/>
      <c r="E46" s="1" t="s">
        <v>46</v>
      </c>
      <c r="F46" s="1"/>
      <c r="G46" s="4">
        <v>0</v>
      </c>
      <c r="H46" s="5"/>
      <c r="I46" s="4">
        <v>11286.33</v>
      </c>
      <c r="J46" s="5"/>
      <c r="K46" s="4">
        <f>ROUND((G46-I46),5)</f>
        <v>-11286.33</v>
      </c>
    </row>
    <row r="47" spans="1:11">
      <c r="A47" s="1"/>
      <c r="B47" s="1"/>
      <c r="C47" s="1"/>
      <c r="D47" s="1"/>
      <c r="E47" s="1" t="s">
        <v>47</v>
      </c>
      <c r="F47" s="1"/>
      <c r="G47" s="4"/>
      <c r="H47" s="5"/>
      <c r="I47" s="4"/>
      <c r="J47" s="5"/>
      <c r="K47" s="4"/>
    </row>
    <row r="48" spans="1:11">
      <c r="A48" s="1"/>
      <c r="B48" s="1"/>
      <c r="C48" s="1"/>
      <c r="D48" s="1"/>
      <c r="E48" s="1"/>
      <c r="F48" s="1" t="s">
        <v>48</v>
      </c>
      <c r="G48" s="4">
        <v>0</v>
      </c>
      <c r="H48" s="5"/>
      <c r="I48" s="4">
        <v>350</v>
      </c>
      <c r="J48" s="5"/>
      <c r="K48" s="4">
        <f>ROUND((G48-I48),5)</f>
        <v>-350</v>
      </c>
    </row>
    <row r="49" spans="1:11">
      <c r="A49" s="1"/>
      <c r="B49" s="1"/>
      <c r="C49" s="1"/>
      <c r="D49" s="1"/>
      <c r="E49" s="1"/>
      <c r="F49" s="1" t="s">
        <v>49</v>
      </c>
      <c r="G49" s="4">
        <v>0</v>
      </c>
      <c r="H49" s="5"/>
      <c r="I49" s="4">
        <v>14000</v>
      </c>
      <c r="J49" s="5"/>
      <c r="K49" s="4">
        <f>ROUND((G49-I49),5)</f>
        <v>-14000</v>
      </c>
    </row>
    <row r="50" spans="1:11">
      <c r="A50" s="1"/>
      <c r="B50" s="1"/>
      <c r="C50" s="1"/>
      <c r="D50" s="1"/>
      <c r="E50" s="1"/>
      <c r="F50" s="1" t="s">
        <v>50</v>
      </c>
      <c r="G50" s="4">
        <v>0</v>
      </c>
      <c r="H50" s="5"/>
      <c r="I50" s="4">
        <v>314607.17</v>
      </c>
      <c r="J50" s="5"/>
      <c r="K50" s="4">
        <f>ROUND((G50-I50),5)</f>
        <v>-314607.17</v>
      </c>
    </row>
    <row r="51" spans="1:11" ht="15" thickBot="1">
      <c r="A51" s="1"/>
      <c r="B51" s="1"/>
      <c r="C51" s="1"/>
      <c r="D51" s="1"/>
      <c r="E51" s="1"/>
      <c r="F51" s="1" t="s">
        <v>51</v>
      </c>
      <c r="G51" s="6">
        <v>0</v>
      </c>
      <c r="H51" s="5"/>
      <c r="I51" s="6">
        <v>0</v>
      </c>
      <c r="J51" s="5"/>
      <c r="K51" s="6">
        <f>ROUND((G51-I51),5)</f>
        <v>0</v>
      </c>
    </row>
    <row r="52" spans="1:11">
      <c r="A52" s="1"/>
      <c r="B52" s="1"/>
      <c r="C52" s="1"/>
      <c r="D52" s="1"/>
      <c r="E52" s="1" t="s">
        <v>52</v>
      </c>
      <c r="F52" s="1"/>
      <c r="G52" s="4">
        <f>ROUND(SUM(G47:G51),5)</f>
        <v>0</v>
      </c>
      <c r="H52" s="5"/>
      <c r="I52" s="4">
        <f>ROUND(SUM(I47:I51),5)</f>
        <v>328957.17</v>
      </c>
      <c r="J52" s="5"/>
      <c r="K52" s="4">
        <f>ROUND((G52-I52),5)</f>
        <v>-328957.17</v>
      </c>
    </row>
    <row r="53" spans="1:11">
      <c r="A53" s="1"/>
      <c r="B53" s="1"/>
      <c r="C53" s="1"/>
      <c r="D53" s="1"/>
      <c r="E53" s="1" t="s">
        <v>53</v>
      </c>
      <c r="F53" s="1"/>
      <c r="G53" s="4"/>
      <c r="H53" s="5"/>
      <c r="I53" s="4"/>
      <c r="J53" s="5"/>
      <c r="K53" s="4"/>
    </row>
    <row r="54" spans="1:11">
      <c r="A54" s="1"/>
      <c r="B54" s="1"/>
      <c r="C54" s="1"/>
      <c r="D54" s="1"/>
      <c r="E54" s="1"/>
      <c r="F54" s="1" t="s">
        <v>54</v>
      </c>
      <c r="G54" s="4">
        <v>0</v>
      </c>
      <c r="H54" s="5"/>
      <c r="I54" s="4">
        <v>1184.97</v>
      </c>
      <c r="J54" s="5"/>
      <c r="K54" s="4">
        <f>ROUND((G54-I54),5)</f>
        <v>-1184.97</v>
      </c>
    </row>
    <row r="55" spans="1:11" ht="15" thickBot="1">
      <c r="A55" s="1"/>
      <c r="B55" s="1"/>
      <c r="C55" s="1"/>
      <c r="D55" s="1"/>
      <c r="E55" s="1"/>
      <c r="F55" s="1" t="s">
        <v>55</v>
      </c>
      <c r="G55" s="6">
        <v>0</v>
      </c>
      <c r="H55" s="5"/>
      <c r="I55" s="6">
        <v>1141.43</v>
      </c>
      <c r="J55" s="5"/>
      <c r="K55" s="6">
        <f>ROUND((G55-I55),5)</f>
        <v>-1141.43</v>
      </c>
    </row>
    <row r="56" spans="1:11">
      <c r="A56" s="1"/>
      <c r="B56" s="1"/>
      <c r="C56" s="1"/>
      <c r="D56" s="1"/>
      <c r="E56" s="1" t="s">
        <v>56</v>
      </c>
      <c r="F56" s="1"/>
      <c r="G56" s="4">
        <f>ROUND(SUM(G53:G55),5)</f>
        <v>0</v>
      </c>
      <c r="H56" s="5"/>
      <c r="I56" s="4">
        <f>ROUND(SUM(I53:I55),5)</f>
        <v>2326.4</v>
      </c>
      <c r="J56" s="5"/>
      <c r="K56" s="4">
        <f>ROUND((G56-I56),5)</f>
        <v>-2326.4</v>
      </c>
    </row>
    <row r="57" spans="1:11">
      <c r="A57" s="1"/>
      <c r="B57" s="1"/>
      <c r="C57" s="1"/>
      <c r="D57" s="1"/>
      <c r="E57" s="1" t="s">
        <v>57</v>
      </c>
      <c r="F57" s="1"/>
      <c r="G57" s="4">
        <v>0</v>
      </c>
      <c r="H57" s="5"/>
      <c r="I57" s="4">
        <v>9600</v>
      </c>
      <c r="J57" s="5"/>
      <c r="K57" s="4">
        <f>ROUND((G57-I57),5)</f>
        <v>-9600</v>
      </c>
    </row>
    <row r="58" spans="1:11">
      <c r="A58" s="1"/>
      <c r="B58" s="1"/>
      <c r="C58" s="1"/>
      <c r="D58" s="1"/>
      <c r="E58" s="1" t="s">
        <v>58</v>
      </c>
      <c r="F58" s="1"/>
      <c r="G58" s="4">
        <v>0</v>
      </c>
      <c r="H58" s="5"/>
      <c r="I58" s="4">
        <v>204636.31</v>
      </c>
      <c r="J58" s="5"/>
      <c r="K58" s="4">
        <f>ROUND((G58-I58),5)</f>
        <v>-204636.31</v>
      </c>
    </row>
    <row r="59" spans="1:11">
      <c r="A59" s="1"/>
      <c r="B59" s="1"/>
      <c r="C59" s="1"/>
      <c r="D59" s="1"/>
      <c r="E59" s="1" t="s">
        <v>59</v>
      </c>
      <c r="F59" s="1"/>
      <c r="G59" s="4">
        <v>0</v>
      </c>
      <c r="H59" s="5"/>
      <c r="I59" s="4">
        <v>85594.16</v>
      </c>
      <c r="J59" s="5"/>
      <c r="K59" s="4">
        <f>ROUND((G59-I59),5)</f>
        <v>-85594.16</v>
      </c>
    </row>
    <row r="60" spans="1:11">
      <c r="A60" s="1"/>
      <c r="B60" s="1"/>
      <c r="C60" s="1"/>
      <c r="D60" s="1"/>
      <c r="E60" s="1" t="s">
        <v>60</v>
      </c>
      <c r="F60" s="1"/>
      <c r="G60" s="4">
        <v>0</v>
      </c>
      <c r="H60" s="5"/>
      <c r="I60" s="4">
        <v>10863.06</v>
      </c>
      <c r="J60" s="5"/>
      <c r="K60" s="4">
        <f>ROUND((G60-I60),5)</f>
        <v>-10863.06</v>
      </c>
    </row>
    <row r="61" spans="1:11">
      <c r="A61" s="1"/>
      <c r="B61" s="1"/>
      <c r="C61" s="1"/>
      <c r="D61" s="1"/>
      <c r="E61" s="1" t="s">
        <v>61</v>
      </c>
      <c r="F61" s="1"/>
      <c r="G61" s="4"/>
      <c r="H61" s="5"/>
      <c r="I61" s="4"/>
      <c r="J61" s="5"/>
      <c r="K61" s="4"/>
    </row>
    <row r="62" spans="1:11">
      <c r="A62" s="1"/>
      <c r="B62" s="1"/>
      <c r="C62" s="1"/>
      <c r="D62" s="1"/>
      <c r="E62" s="1"/>
      <c r="F62" s="1" t="s">
        <v>62</v>
      </c>
      <c r="G62" s="4">
        <v>0</v>
      </c>
      <c r="H62" s="5"/>
      <c r="I62" s="4">
        <v>27436.400000000001</v>
      </c>
      <c r="J62" s="5"/>
      <c r="K62" s="4">
        <f>ROUND((G62-I62),5)</f>
        <v>-27436.400000000001</v>
      </c>
    </row>
    <row r="63" spans="1:11" ht="15" thickBot="1">
      <c r="A63" s="1"/>
      <c r="B63" s="1"/>
      <c r="C63" s="1"/>
      <c r="D63" s="1"/>
      <c r="E63" s="1"/>
      <c r="F63" s="1" t="s">
        <v>63</v>
      </c>
      <c r="G63" s="6">
        <v>0</v>
      </c>
      <c r="H63" s="5"/>
      <c r="I63" s="6">
        <v>508.11</v>
      </c>
      <c r="J63" s="5"/>
      <c r="K63" s="6">
        <f>ROUND((G63-I63),5)</f>
        <v>-508.11</v>
      </c>
    </row>
    <row r="64" spans="1:11">
      <c r="A64" s="1"/>
      <c r="B64" s="1"/>
      <c r="C64" s="1"/>
      <c r="D64" s="1"/>
      <c r="E64" s="1" t="s">
        <v>64</v>
      </c>
      <c r="F64" s="1"/>
      <c r="G64" s="4">
        <f>ROUND(SUM(G61:G63),5)</f>
        <v>0</v>
      </c>
      <c r="H64" s="5"/>
      <c r="I64" s="4">
        <f>ROUND(SUM(I61:I63),5)</f>
        <v>27944.51</v>
      </c>
      <c r="J64" s="5"/>
      <c r="K64" s="4">
        <f>ROUND((G64-I64),5)</f>
        <v>-27944.51</v>
      </c>
    </row>
    <row r="65" spans="1:11">
      <c r="A65" s="1"/>
      <c r="B65" s="1"/>
      <c r="C65" s="1"/>
      <c r="D65" s="1"/>
      <c r="E65" s="1" t="s">
        <v>65</v>
      </c>
      <c r="F65" s="1"/>
      <c r="G65" s="4">
        <v>0</v>
      </c>
      <c r="H65" s="5"/>
      <c r="I65" s="4">
        <v>1727.23</v>
      </c>
      <c r="J65" s="5"/>
      <c r="K65" s="4">
        <f>ROUND((G65-I65),5)</f>
        <v>-1727.23</v>
      </c>
    </row>
    <row r="66" spans="1:11">
      <c r="A66" s="1"/>
      <c r="B66" s="1"/>
      <c r="C66" s="1"/>
      <c r="D66" s="1"/>
      <c r="E66" s="1" t="s">
        <v>66</v>
      </c>
      <c r="F66" s="1"/>
      <c r="G66" s="4"/>
      <c r="H66" s="5"/>
      <c r="I66" s="4"/>
      <c r="J66" s="5"/>
      <c r="K66" s="4"/>
    </row>
    <row r="67" spans="1:11">
      <c r="A67" s="1"/>
      <c r="B67" s="1"/>
      <c r="C67" s="1"/>
      <c r="D67" s="1"/>
      <c r="E67" s="1"/>
      <c r="F67" s="1" t="s">
        <v>67</v>
      </c>
      <c r="G67" s="4">
        <v>0</v>
      </c>
      <c r="H67" s="5"/>
      <c r="I67" s="4">
        <v>308</v>
      </c>
      <c r="J67" s="5"/>
      <c r="K67" s="4">
        <f>ROUND((G67-I67),5)</f>
        <v>-308</v>
      </c>
    </row>
    <row r="68" spans="1:11" ht="15" thickBot="1">
      <c r="A68" s="1"/>
      <c r="B68" s="1"/>
      <c r="C68" s="1"/>
      <c r="D68" s="1"/>
      <c r="E68" s="1"/>
      <c r="F68" s="1" t="s">
        <v>68</v>
      </c>
      <c r="G68" s="6">
        <v>0</v>
      </c>
      <c r="H68" s="5"/>
      <c r="I68" s="6">
        <v>60</v>
      </c>
      <c r="J68" s="5"/>
      <c r="K68" s="6">
        <f>ROUND((G68-I68),5)</f>
        <v>-60</v>
      </c>
    </row>
    <row r="69" spans="1:11">
      <c r="A69" s="1"/>
      <c r="B69" s="1"/>
      <c r="C69" s="1"/>
      <c r="D69" s="1"/>
      <c r="E69" s="1" t="s">
        <v>69</v>
      </c>
      <c r="F69" s="1"/>
      <c r="G69" s="4">
        <f>ROUND(SUM(G66:G68),5)</f>
        <v>0</v>
      </c>
      <c r="H69" s="5"/>
      <c r="I69" s="4">
        <f>ROUND(SUM(I66:I68),5)</f>
        <v>368</v>
      </c>
      <c r="J69" s="5"/>
      <c r="K69" s="4">
        <f>ROUND((G69-I69),5)</f>
        <v>-368</v>
      </c>
    </row>
    <row r="70" spans="1:11">
      <c r="A70" s="1"/>
      <c r="B70" s="1"/>
      <c r="C70" s="1"/>
      <c r="D70" s="1"/>
      <c r="E70" s="1" t="s">
        <v>70</v>
      </c>
      <c r="F70" s="1"/>
      <c r="G70" s="4"/>
      <c r="H70" s="5"/>
      <c r="I70" s="4"/>
      <c r="J70" s="5"/>
      <c r="K70" s="4"/>
    </row>
    <row r="71" spans="1:11">
      <c r="A71" s="1"/>
      <c r="B71" s="1"/>
      <c r="C71" s="1"/>
      <c r="D71" s="1"/>
      <c r="E71" s="1"/>
      <c r="F71" s="1" t="s">
        <v>71</v>
      </c>
      <c r="G71" s="4">
        <v>0</v>
      </c>
      <c r="H71" s="5"/>
      <c r="I71" s="4">
        <v>1244.3</v>
      </c>
      <c r="J71" s="5"/>
      <c r="K71" s="4">
        <f>ROUND((G71-I71),5)</f>
        <v>-1244.3</v>
      </c>
    </row>
    <row r="72" spans="1:11">
      <c r="A72" s="1"/>
      <c r="B72" s="1"/>
      <c r="C72" s="1"/>
      <c r="D72" s="1"/>
      <c r="E72" s="1"/>
      <c r="F72" s="1" t="s">
        <v>72</v>
      </c>
      <c r="G72" s="4">
        <v>0</v>
      </c>
      <c r="H72" s="5"/>
      <c r="I72" s="4">
        <v>417.74</v>
      </c>
      <c r="J72" s="5"/>
      <c r="K72" s="4">
        <f>ROUND((G72-I72),5)</f>
        <v>-417.74</v>
      </c>
    </row>
    <row r="73" spans="1:11" ht="15" thickBot="1">
      <c r="A73" s="1"/>
      <c r="B73" s="1"/>
      <c r="C73" s="1"/>
      <c r="D73" s="1"/>
      <c r="E73" s="1"/>
      <c r="F73" s="1" t="s">
        <v>73</v>
      </c>
      <c r="G73" s="7">
        <v>0</v>
      </c>
      <c r="H73" s="5"/>
      <c r="I73" s="7">
        <v>417.52</v>
      </c>
      <c r="J73" s="5"/>
      <c r="K73" s="7">
        <f>ROUND((G73-I73),5)</f>
        <v>-417.52</v>
      </c>
    </row>
    <row r="74" spans="1:11" ht="15" thickBot="1">
      <c r="A74" s="1"/>
      <c r="B74" s="1"/>
      <c r="C74" s="1"/>
      <c r="D74" s="1"/>
      <c r="E74" s="1" t="s">
        <v>74</v>
      </c>
      <c r="F74" s="1"/>
      <c r="G74" s="9">
        <f>ROUND(SUM(G70:G73),5)</f>
        <v>0</v>
      </c>
      <c r="H74" s="5"/>
      <c r="I74" s="9">
        <f>ROUND(SUM(I70:I73),5)</f>
        <v>2079.56</v>
      </c>
      <c r="J74" s="5"/>
      <c r="K74" s="9">
        <f>ROUND((G74-I74),5)</f>
        <v>-2079.56</v>
      </c>
    </row>
    <row r="75" spans="1:11" ht="15" thickBot="1">
      <c r="A75" s="1"/>
      <c r="B75" s="1"/>
      <c r="C75" s="1"/>
      <c r="D75" s="1" t="s">
        <v>75</v>
      </c>
      <c r="E75" s="1"/>
      <c r="F75" s="1"/>
      <c r="G75" s="8">
        <f>ROUND(SUM(G15:G28)+SUM(G34:G40)+SUM(G44:G46)+G52+SUM(G56:G60)+SUM(G64:G65)+G69+G74,5)</f>
        <v>0</v>
      </c>
      <c r="H75" s="5"/>
      <c r="I75" s="8">
        <f>ROUND(SUM(I15:I28)+SUM(I34:I40)+SUM(I44:I46)+I52+SUM(I56:I60)+SUM(I64:I65)+I69+I74,5)</f>
        <v>751584.36</v>
      </c>
      <c r="J75" s="5"/>
      <c r="K75" s="8">
        <f>ROUND((G75-I75),5)</f>
        <v>-751584.36</v>
      </c>
    </row>
    <row r="76" spans="1:11">
      <c r="A76" s="1"/>
      <c r="B76" s="1" t="s">
        <v>76</v>
      </c>
      <c r="C76" s="1"/>
      <c r="D76" s="1"/>
      <c r="E76" s="1"/>
      <c r="F76" s="1"/>
      <c r="G76" s="4">
        <f>ROUND(G3+G14-G75,5)</f>
        <v>0</v>
      </c>
      <c r="H76" s="5"/>
      <c r="I76" s="4">
        <f>ROUND(I3+I14-I75,5)</f>
        <v>273141.73</v>
      </c>
      <c r="J76" s="5"/>
      <c r="K76" s="4">
        <f>ROUND((G76-I76),5)</f>
        <v>-273141.73</v>
      </c>
    </row>
    <row r="77" spans="1:11">
      <c r="A77" s="1"/>
      <c r="B77" s="1" t="s">
        <v>77</v>
      </c>
      <c r="C77" s="1"/>
      <c r="D77" s="1"/>
      <c r="E77" s="1"/>
      <c r="F77" s="1"/>
      <c r="G77" s="4"/>
      <c r="H77" s="5"/>
      <c r="I77" s="4"/>
      <c r="J77" s="5"/>
      <c r="K77" s="4"/>
    </row>
    <row r="78" spans="1:11">
      <c r="A78" s="1"/>
      <c r="B78" s="1"/>
      <c r="C78" s="1" t="s">
        <v>78</v>
      </c>
      <c r="D78" s="1"/>
      <c r="E78" s="1"/>
      <c r="F78" s="1"/>
      <c r="G78" s="4"/>
      <c r="H78" s="5"/>
      <c r="I78" s="4"/>
      <c r="J78" s="5"/>
      <c r="K78" s="4"/>
    </row>
    <row r="79" spans="1:11" ht="15" thickBot="1">
      <c r="A79" s="1"/>
      <c r="B79" s="1"/>
      <c r="C79" s="1"/>
      <c r="D79" s="1" t="s">
        <v>79</v>
      </c>
      <c r="E79" s="1"/>
      <c r="F79" s="1"/>
      <c r="G79" s="7">
        <v>0</v>
      </c>
      <c r="H79" s="5"/>
      <c r="I79" s="7">
        <v>114.37</v>
      </c>
      <c r="J79" s="5"/>
      <c r="K79" s="7">
        <f>ROUND((G79-I79),5)</f>
        <v>-114.37</v>
      </c>
    </row>
    <row r="80" spans="1:11" ht="15" thickBot="1">
      <c r="A80" s="1"/>
      <c r="B80" s="1"/>
      <c r="C80" s="1" t="s">
        <v>80</v>
      </c>
      <c r="D80" s="1"/>
      <c r="E80" s="1"/>
      <c r="F80" s="1"/>
      <c r="G80" s="9">
        <f>ROUND(SUM(G78:G79),5)</f>
        <v>0</v>
      </c>
      <c r="H80" s="5"/>
      <c r="I80" s="9">
        <f>ROUND(SUM(I78:I79),5)</f>
        <v>114.37</v>
      </c>
      <c r="J80" s="5"/>
      <c r="K80" s="9">
        <f>ROUND((G80-I80),5)</f>
        <v>-114.37</v>
      </c>
    </row>
    <row r="81" spans="1:11" ht="15" thickBot="1">
      <c r="A81" s="1"/>
      <c r="B81" s="1" t="s">
        <v>81</v>
      </c>
      <c r="C81" s="1"/>
      <c r="D81" s="1"/>
      <c r="E81" s="1"/>
      <c r="F81" s="1"/>
      <c r="G81" s="9">
        <f>ROUND(G77+G80,5)</f>
        <v>0</v>
      </c>
      <c r="H81" s="5"/>
      <c r="I81" s="9">
        <f>ROUND(I77+I80,5)</f>
        <v>114.37</v>
      </c>
      <c r="J81" s="5"/>
      <c r="K81" s="9">
        <f>ROUND((G81-I81),5)</f>
        <v>-114.37</v>
      </c>
    </row>
    <row r="82" spans="1:11" s="11" customFormat="1" ht="12.75" thickBot="1">
      <c r="A82" s="1" t="s">
        <v>82</v>
      </c>
      <c r="B82" s="1"/>
      <c r="C82" s="1"/>
      <c r="D82" s="1"/>
      <c r="E82" s="1"/>
      <c r="F82" s="1"/>
      <c r="G82" s="10">
        <f>ROUND(G76+G81,5)</f>
        <v>0</v>
      </c>
      <c r="H82" s="1"/>
      <c r="I82" s="10">
        <f>ROUND(I76+I81,5)</f>
        <v>273256.09999999998</v>
      </c>
      <c r="J82" s="1"/>
      <c r="K82" s="10">
        <f>ROUND((G82-I82),5)</f>
        <v>-273256.09999999998</v>
      </c>
    </row>
    <row r="83" spans="1:11" ht="15" thickTop="1"/>
  </sheetData>
  <pageMargins left="0.7" right="0.7" top="0.75" bottom="0.75" header="0.1" footer="0.3"/>
  <pageSetup orientation="portrait" verticalDpi="0" r:id="rId1"/>
  <headerFooter>
    <oddHeader>&amp;L&amp;"Arial,Bold"&amp;9 9:54 AM
&amp;"Arial,Bold"&amp;9 04/13/26
&amp;"Arial,Bold"&amp;9 Accrual Basis&amp;C&amp;"Arial,Bold"&amp;12 LT BEAUTY LLC
&amp;"Arial,Bold"&amp;14 Profit &amp;&amp; Loss
&amp;"Arial,Bold"&amp;10 January through December 2025</oddHeader>
    <oddFooter>&amp;R&amp;"Arial,Bold"&amp;9 Page &amp;P of &amp;N</oddFoot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E5F0396FBBC9B4494DB247DF4267C48" ma:contentTypeVersion="3" ma:contentTypeDescription="Create a new document." ma:contentTypeScope="" ma:versionID="4765852c5531c0595f118a794dad5166">
  <xsd:schema xmlns:xsd="http://www.w3.org/2001/XMLSchema" xmlns:xs="http://www.w3.org/2001/XMLSchema" xmlns:p="http://schemas.microsoft.com/office/2006/metadata/properties" xmlns:ns2="6c4331ef-10cd-4591-affc-8b6217c7b430" targetNamespace="http://schemas.microsoft.com/office/2006/metadata/properties" ma:root="true" ma:fieldsID="ccfbcbfdf7f33866b68cf9f171246d7e" ns2:_="">
    <xsd:import namespace="6c4331ef-10cd-4591-affc-8b6217c7b43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c4331ef-10cd-4591-affc-8b6217c7b43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408F4532-C53A-4EEA-8983-D34724C3DEA6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c4331ef-10cd-4591-affc-8b6217c7b430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A2C2A0A5-A0C3-4918-8232-24BE273DCFF2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A3E70474-7CAB-4C58-917E-171D4F16316D}">
  <ds:schemaRefs>
    <ds:schemaRef ds:uri="http://schemas.openxmlformats.org/package/2006/metadata/core-properties"/>
    <ds:schemaRef ds:uri="http://schemas.microsoft.com/office/infopath/2007/PartnerControls"/>
    <ds:schemaRef ds:uri="http://www.w3.org/XML/1998/namespace"/>
    <ds:schemaRef ds:uri="http://schemas.microsoft.com/office/2006/metadata/properties"/>
    <ds:schemaRef ds:uri="http://schemas.microsoft.com/office/2006/documentManagement/types"/>
    <ds:schemaRef ds:uri="http://purl.org/dc/elements/1.1/"/>
    <ds:schemaRef ds:uri="http://purl.org/dc/dcmitype/"/>
    <ds:schemaRef ds:uri="6c4331ef-10cd-4591-affc-8b6217c7b430"/>
    <ds:schemaRef ds:uri="http://purl.org/dc/terms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QuickBooks Desktop Export Tips</vt:lpstr>
      <vt:lpstr>Sheet1</vt:lpstr>
      <vt:lpstr>Sheet1!Print_Titles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Justine Cariquitan</dc:creator>
  <cp:lastModifiedBy>Justine Cariquitan</cp:lastModifiedBy>
  <dcterms:created xsi:type="dcterms:W3CDTF">2026-04-13T16:53:55Z</dcterms:created>
  <dcterms:modified xsi:type="dcterms:W3CDTF">2026-04-13T16:55:36Z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0x0101000E5F0396FBBC9B4494DB247DF4267C48</vt:lpwstr>
  </property>
</Properties>
</file>